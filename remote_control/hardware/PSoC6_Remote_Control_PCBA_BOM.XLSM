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D:\p4v_workspace\hardware\Kits\Internal Boards\PSoC 6 WiFi-BT remote control board\System_Hardware_Design\BOM\"/>
    </mc:Choice>
  </mc:AlternateContent>
  <xr:revisionPtr revIDLastSave="0" documentId="10_ncr:100000_{B2AF9FC8-F603-4CC0-9B6C-DACEBFF3305A}" xr6:coauthVersionLast="31" xr6:coauthVersionMax="31" xr10:uidLastSave="{00000000-0000-0000-0000-000000000000}"/>
  <bookViews>
    <workbookView xWindow="0" yWindow="0" windowWidth="6235" windowHeight="5515" activeTab="1" xr2:uid="{00000000-000D-0000-FFFF-FFFF00000000}"/>
  </bookViews>
  <sheets>
    <sheet name="Revision History" sheetId="2" r:id="rId1"/>
    <sheet name="PCBA BOM" sheetId="1" r:id="rId2"/>
    <sheet name="Costing" sheetId="3" r:id="rId3"/>
  </sheets>
  <definedNames>
    <definedName name="_xlnm.Print_Area" localSheetId="1">'PCBA BOM'!$A$1:$J$170</definedName>
    <definedName name="_xlnm.Print_Area" localSheetId="0">'Revision History'!$A$1:$H$196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/>
  <c r="H5" i="3"/>
  <c r="H9" i="3"/>
  <c r="H6" i="3"/>
  <c r="H7" i="3"/>
  <c r="H8" i="3"/>
  <c r="H10" i="3"/>
  <c r="H15" i="3"/>
  <c r="H11" i="3"/>
  <c r="H12" i="3"/>
  <c r="H13" i="3"/>
  <c r="H14" i="3"/>
  <c r="H17" i="3"/>
  <c r="H18" i="3"/>
  <c r="H19" i="3"/>
  <c r="H16" i="3"/>
  <c r="H20" i="3"/>
  <c r="H21" i="3"/>
  <c r="H26" i="3"/>
  <c r="H29" i="3"/>
  <c r="H30" i="3"/>
  <c r="H33" i="3"/>
  <c r="H35" i="3"/>
  <c r="H22" i="3"/>
  <c r="H23" i="3"/>
  <c r="H24" i="3"/>
  <c r="H25" i="3"/>
  <c r="H27" i="3"/>
  <c r="H28" i="3"/>
  <c r="H31" i="3"/>
  <c r="H32" i="3"/>
  <c r="H34" i="3"/>
  <c r="H36" i="3"/>
  <c r="H37" i="3"/>
  <c r="H38" i="3"/>
  <c r="H39" i="3"/>
  <c r="H40" i="3"/>
  <c r="H41" i="3"/>
  <c r="H42" i="3"/>
  <c r="H43" i="3"/>
  <c r="H2" i="3"/>
  <c r="H4" i="3"/>
  <c r="H45" i="3" l="1"/>
  <c r="C48" i="3" s="1"/>
  <c r="C50" i="3" l="1"/>
  <c r="C51" i="3" l="1"/>
  <c r="C52" i="3" s="1"/>
  <c r="C53" i="3" l="1"/>
</calcChain>
</file>

<file path=xl/sharedStrings.xml><?xml version="1.0" encoding="utf-8"?>
<sst xmlns="http://schemas.openxmlformats.org/spreadsheetml/2006/main" count="613" uniqueCount="325">
  <si>
    <t>TITLE</t>
  </si>
  <si>
    <t>DATE</t>
  </si>
  <si>
    <t>Qty</t>
  </si>
  <si>
    <t>Reference</t>
  </si>
  <si>
    <t>Value</t>
  </si>
  <si>
    <t>Description</t>
  </si>
  <si>
    <t>Manufacturer</t>
  </si>
  <si>
    <t>Revision</t>
  </si>
  <si>
    <t>Date</t>
  </si>
  <si>
    <t>BOM REVISION</t>
  </si>
  <si>
    <t>Schematics Number &amp; Revision</t>
  </si>
  <si>
    <t>ROHS Compliance</t>
  </si>
  <si>
    <t>Required</t>
  </si>
  <si>
    <t>UL Compliance</t>
  </si>
  <si>
    <t>#</t>
  </si>
  <si>
    <t>Cypress Part #</t>
  </si>
  <si>
    <t>Mfr Part #</t>
  </si>
  <si>
    <t>a</t>
  </si>
  <si>
    <t>Prepared By</t>
  </si>
  <si>
    <t>Approved By</t>
  </si>
  <si>
    <t>Alternate Manufacturer</t>
  </si>
  <si>
    <t>Alternate Mfr Part #</t>
  </si>
  <si>
    <t>No Load</t>
  </si>
  <si>
    <t>NO LOAD</t>
  </si>
  <si>
    <t>ACCESSORIES</t>
  </si>
  <si>
    <t>CYPRESS SEMICONDUCTOR  © 2017</t>
  </si>
  <si>
    <t>PCBA Number &amp; Revision</t>
  </si>
  <si>
    <t>ACC1</t>
  </si>
  <si>
    <t>Cypress Approved CM</t>
  </si>
  <si>
    <t>-NA-</t>
  </si>
  <si>
    <t>ACC2</t>
  </si>
  <si>
    <t>ACC3</t>
  </si>
  <si>
    <t>ACC4</t>
  </si>
  <si>
    <t>ACC5</t>
  </si>
  <si>
    <t>510-60203-01</t>
  </si>
  <si>
    <t>1.0 uF</t>
  </si>
  <si>
    <t>Taiyo Yuden</t>
  </si>
  <si>
    <t>LMK105BJ105KV-F</t>
  </si>
  <si>
    <t>510-60247-01</t>
  </si>
  <si>
    <t>4.7uF</t>
  </si>
  <si>
    <t>Yageo</t>
  </si>
  <si>
    <t>10nF</t>
  </si>
  <si>
    <t>GRM155R71H103KA88D</t>
  </si>
  <si>
    <t>0.1uF</t>
  </si>
  <si>
    <t>751-60031-01</t>
  </si>
  <si>
    <t>USB_Hold</t>
  </si>
  <si>
    <t>Alpha Wire</t>
  </si>
  <si>
    <t>298SV001</t>
  </si>
  <si>
    <t>Sullins Connector Solutions</t>
  </si>
  <si>
    <t>10118194-0001LF</t>
  </si>
  <si>
    <t>FCI</t>
  </si>
  <si>
    <t>AMBER LED</t>
  </si>
  <si>
    <t>RED LED</t>
  </si>
  <si>
    <t>15K</t>
  </si>
  <si>
    <t>Panasonic</t>
  </si>
  <si>
    <t>500-60085-01</t>
  </si>
  <si>
    <t>22E</t>
  </si>
  <si>
    <t>RC0402FR-0722RL</t>
  </si>
  <si>
    <t>500-60075-01</t>
  </si>
  <si>
    <t>100K</t>
  </si>
  <si>
    <t>49.9K</t>
  </si>
  <si>
    <t>30K</t>
  </si>
  <si>
    <t>500-60095-01</t>
  </si>
  <si>
    <t>4.7K</t>
  </si>
  <si>
    <t>Yageo America</t>
  </si>
  <si>
    <t>RC0402JR-074K7L</t>
  </si>
  <si>
    <t>RC0402JR-07100KL</t>
  </si>
  <si>
    <t>0ohm</t>
  </si>
  <si>
    <t>Rohm Semiconductor</t>
  </si>
  <si>
    <t>MCR03EZPJ000</t>
  </si>
  <si>
    <t>383K</t>
  </si>
  <si>
    <t>RC0402FR-07383KL</t>
  </si>
  <si>
    <t>770-60033-01</t>
  </si>
  <si>
    <t>SKRPACE010</t>
  </si>
  <si>
    <t>CY8C5868LTI-LP039</t>
  </si>
  <si>
    <t>U1</t>
  </si>
  <si>
    <t>Cypress Semiconductor</t>
  </si>
  <si>
    <t>530-60071-01</t>
  </si>
  <si>
    <t>NXP Semiconductors</t>
  </si>
  <si>
    <t>SiP32408</t>
  </si>
  <si>
    <t>Vishay Siliconix</t>
  </si>
  <si>
    <t>SIP32408DNP-T1-GE4</t>
  </si>
  <si>
    <t>Diodes Incorporated</t>
  </si>
  <si>
    <t>TP_SMD</t>
  </si>
  <si>
    <t>Initial BOM update</t>
  </si>
  <si>
    <t>TARE</t>
  </si>
  <si>
    <t>ACC6</t>
  </si>
  <si>
    <t>510-60089-01</t>
  </si>
  <si>
    <t>CL05B104KO5NNNC</t>
  </si>
  <si>
    <t>J3</t>
  </si>
  <si>
    <t>450-60257-01</t>
  </si>
  <si>
    <t>720-60080-01</t>
  </si>
  <si>
    <t>CAP, CER, 0.1UF, 10%, X7R, 16V, 0402</t>
  </si>
  <si>
    <t>Samsung Electro-Mechanics America, Inc.</t>
  </si>
  <si>
    <t>CAP, CER, 1UF, 10%, 10V, X5R, 0402</t>
  </si>
  <si>
    <t>WIRE, WIRE BUS BAR 1000' LONG, THICKNESS 22 AWG</t>
  </si>
  <si>
    <t>CONN, RCPT, STD, MICRO, USB, TYPE B</t>
  </si>
  <si>
    <t>500-60927-01</t>
  </si>
  <si>
    <t>RES, 383K OHM, 1%, 100PPM, 1/16W, 0402</t>
  </si>
  <si>
    <t>RES, 22 OHM, 1%, 100PPM, 1/16W, 0402</t>
  </si>
  <si>
    <t>RES, 4.7K OHM, 5%, 100PPM, 1/16W, 0402</t>
  </si>
  <si>
    <t>SW, TACTILE SWITCH, 4.2x3.2x2.5MM, 260GF</t>
  </si>
  <si>
    <t>ALPS ELECTRIC CO.,LTD</t>
  </si>
  <si>
    <t>TESTPOINT, SMD, 40MILS, ROUND</t>
  </si>
  <si>
    <t>IC, CYPRESS, PSoC 5LP, RAM 64KB, 32 Bit MCU, 68PIN, QFN</t>
  </si>
  <si>
    <t>PUSBM12VX4-TL,115</t>
  </si>
  <si>
    <t>TVS DIODE, 5.5VWM, 12VC, 6HXSON</t>
  </si>
  <si>
    <t>534-60113-01</t>
  </si>
  <si>
    <t>Lite-On Inc.</t>
  </si>
  <si>
    <t>LTST-C191KSKT</t>
  </si>
  <si>
    <t>2.2K</t>
  </si>
  <si>
    <t>Samsung Electro-Mechanics</t>
  </si>
  <si>
    <t>534-60065-01</t>
  </si>
  <si>
    <t>CAP_SH1</t>
  </si>
  <si>
    <t>CAP_SHIELD</t>
  </si>
  <si>
    <t>CapSense, Shield, Hash pattern</t>
  </si>
  <si>
    <t>CSB1,CSB2</t>
  </si>
  <si>
    <t>CSS1</t>
  </si>
  <si>
    <t>Murata</t>
  </si>
  <si>
    <t>2k</t>
  </si>
  <si>
    <t>CY8CMOD-062-43012</t>
  </si>
  <si>
    <t>700-60076-01</t>
  </si>
  <si>
    <t>SPC02SYAN</t>
  </si>
  <si>
    <t>HW, CONN, Rectangular, MINI JUMPER, 6mm, CLOSE TYPE, BLACK, NICKEL</t>
  </si>
  <si>
    <t>IC, SW W/CTRL SLEW RATE, 4TDFN</t>
  </si>
  <si>
    <t>CONN, HDR, RGHT, 3POS, .100</t>
  </si>
  <si>
    <t>Acrylic Overlay</t>
  </si>
  <si>
    <t>HW, OVERLAY, CY8CKIT-062-BLE, Acrylic, 40mmx34mmx1mm</t>
  </si>
  <si>
    <t>U4</t>
  </si>
  <si>
    <t>Harwin Inc.</t>
  </si>
  <si>
    <t>500-60134-01</t>
  </si>
  <si>
    <t>560ohm</t>
  </si>
  <si>
    <t>RES, 560 OHM, 5%, 200PPM, 1/10W, 0603, SMD</t>
  </si>
  <si>
    <t>RC0402JR-072K2L</t>
  </si>
  <si>
    <t>ON Semiconductor</t>
  </si>
  <si>
    <t>RES, 15K OHM, 1/16W, 5%, 0402, SMD</t>
  </si>
  <si>
    <t>RC0402JR-0715KL</t>
  </si>
  <si>
    <t>RES, 30K OHM, 1/16W, 5%, 0402, SMD</t>
  </si>
  <si>
    <t>RC0402JR-0730KL</t>
  </si>
  <si>
    <t>RES, 49.9K, 1%, 1/16W, 0402</t>
  </si>
  <si>
    <t>RC1005F4992CS</t>
  </si>
  <si>
    <t>Stackpole Electronics Inc.</t>
  </si>
  <si>
    <t>RMCF0603JT2K00</t>
  </si>
  <si>
    <t>RC0603FR-07560RL</t>
  </si>
  <si>
    <t>C11</t>
  </si>
  <si>
    <t>22uF</t>
  </si>
  <si>
    <t>510-60716-01</t>
  </si>
  <si>
    <t>22pF</t>
  </si>
  <si>
    <t>CAP, CER, 22PF, 5%, COG, 50V, 0402</t>
  </si>
  <si>
    <t>GRM1555C1H220JA01D</t>
  </si>
  <si>
    <t>L1</t>
  </si>
  <si>
    <t>2.2uH</t>
  </si>
  <si>
    <t>IND, FIXED, SHIELDED, 2.2uH, 1.2A, 0.138 OHM, 0806</t>
  </si>
  <si>
    <t>LQM2MPN2R2MG0L</t>
  </si>
  <si>
    <t>76.8K</t>
  </si>
  <si>
    <t>RES, 76.8K OHM, 1%, 100PPM, 1/16W, 0402, SMD</t>
  </si>
  <si>
    <t>RC0402FR-0776K8L</t>
  </si>
  <si>
    <t>U5</t>
  </si>
  <si>
    <t>AP3419KTTR-G1</t>
  </si>
  <si>
    <t>NCP380HMU05AATBG</t>
  </si>
  <si>
    <t>520-60093-01</t>
  </si>
  <si>
    <t>510-60052-01</t>
  </si>
  <si>
    <t>10uF</t>
  </si>
  <si>
    <t>CAP, CER, 10uF, 10%, X5R, 25V, 0805</t>
  </si>
  <si>
    <t>GRM21BR61E106KA73L</t>
  </si>
  <si>
    <t>500-60001-01</t>
  </si>
  <si>
    <t>RES, 0.0OHM, JUMPER, 1/10W, 0603</t>
  </si>
  <si>
    <t>LED, YELLOW, CLEAR, 588nm, 2.1V, 0603</t>
  </si>
  <si>
    <t>RES, 100K OHM, 5%, 1/16W, 0402</t>
  </si>
  <si>
    <t>RES, 2K OHM, 5%, 1/10W, 0603</t>
  </si>
  <si>
    <t>IC, REG, BUCK, SYNC, ADJ, 2A, TSOT26</t>
  </si>
  <si>
    <t>IC, LOAD, SWITCH, PROTECT, 500mA, 6-UDFN</t>
  </si>
  <si>
    <t>510-60562-01</t>
  </si>
  <si>
    <t>CAP, CER, 4.7uF, 10%, X5R, 25V, 0603</t>
  </si>
  <si>
    <t>GRM188R61E475KE11D</t>
  </si>
  <si>
    <t>510-60564-01</t>
  </si>
  <si>
    <t>CAP, CER, 22uF, 20%, X5R, 25V, 0805</t>
  </si>
  <si>
    <t>GRM21BR61E226ME44L</t>
  </si>
  <si>
    <t>CAP, CER, 10nF, 10%, X7R, 50V, 0402</t>
  </si>
  <si>
    <t>J5</t>
  </si>
  <si>
    <t>CY8CMOD-062-4343W</t>
  </si>
  <si>
    <t>RES, 2.2K OHM, 5%, 200PPM, 1/16W, 0402</t>
  </si>
  <si>
    <t>MODULE, CYPRESS, PSoC 6 WiFi-BT Module</t>
  </si>
  <si>
    <t>CYPRESS SEMICONDUCTOR  © 2018</t>
  </si>
  <si>
    <t>Rev 02 schematic BOM</t>
  </si>
  <si>
    <t>TSW-103-08-F-S-RA</t>
  </si>
  <si>
    <t>Samtec Inc.</t>
  </si>
  <si>
    <t xml:space="preserve">PSoC 6 WiFi-BT remote control board </t>
  </si>
  <si>
    <t>630-INT0061-01</t>
  </si>
  <si>
    <t>121-INT00-01</t>
  </si>
  <si>
    <t>Rev 01</t>
  </si>
  <si>
    <t>121-INT0061-01</t>
  </si>
  <si>
    <t>600-INT0061-01</t>
  </si>
  <si>
    <t>610-INT0061-01</t>
  </si>
  <si>
    <t>620-INT0061-01</t>
  </si>
  <si>
    <t>ACC7</t>
  </si>
  <si>
    <t>C1</t>
  </si>
  <si>
    <t>C2,C4,C6,C8,C10,C15,C17,C19,C21,C26,C37</t>
  </si>
  <si>
    <t>C3,C5,C7,C9,C12,C13,C14,C16,C18,C20,C31,C32,C33,C35</t>
  </si>
  <si>
    <t>C24,C25,C28</t>
  </si>
  <si>
    <t>C27,C30,C34,C36</t>
  </si>
  <si>
    <t>C29</t>
  </si>
  <si>
    <t>C39,C40</t>
  </si>
  <si>
    <t>JMP1</t>
  </si>
  <si>
    <t>J1</t>
  </si>
  <si>
    <t>HDR2</t>
  </si>
  <si>
    <t>CONN HEADER VERT 2POS .100 30AU</t>
  </si>
  <si>
    <t>Wurth</t>
  </si>
  <si>
    <t>J2</t>
  </si>
  <si>
    <t>HDR_S 2x1_R/A</t>
  </si>
  <si>
    <t>CONN HEADER PH R/A 2POS 2MM</t>
  </si>
  <si>
    <t>JST Sales America Inc.</t>
  </si>
  <si>
    <t>S2B-PH-K-S(LF)(SN)</t>
  </si>
  <si>
    <t>J4</t>
  </si>
  <si>
    <t>CON 4x1</t>
  </si>
  <si>
    <t>CONN RCPT 2.54MM SMD 4POS</t>
  </si>
  <si>
    <t>M20-7910442R</t>
  </si>
  <si>
    <t>LED1</t>
  </si>
  <si>
    <t>LED2,LED3,LED4,LED5,LED6</t>
  </si>
  <si>
    <t>Red LED</t>
  </si>
  <si>
    <t>LED RED CLEAR 1206 SMD</t>
  </si>
  <si>
    <t>Kingbright</t>
  </si>
  <si>
    <t>APTR3216SURCK</t>
  </si>
  <si>
    <t>LED7</t>
  </si>
  <si>
    <t>LED RED CLEAR 0603 SMD</t>
  </si>
  <si>
    <t>LTST-C191KRKT</t>
  </si>
  <si>
    <t>Q1</t>
  </si>
  <si>
    <t>FET-MOS-P</t>
  </si>
  <si>
    <t>FET, MOSFET, P-CH, 30V, 3.8A, 1.08W, SOT-23</t>
  </si>
  <si>
    <t>DMP3098L-7</t>
  </si>
  <si>
    <t>R1,R63</t>
  </si>
  <si>
    <t>R2,R28,R29,R30,R32,R34,R35,R36,R40,R41,R42,R43,R54,R55,R56,R59,R60</t>
  </si>
  <si>
    <t>R3,R7,R38,R39</t>
  </si>
  <si>
    <t>R4,R8</t>
  </si>
  <si>
    <t>R5</t>
  </si>
  <si>
    <t>R6</t>
  </si>
  <si>
    <t>R9,R62</t>
  </si>
  <si>
    <t>R10,R11</t>
  </si>
  <si>
    <t>R12,R13</t>
  </si>
  <si>
    <t>R18</t>
  </si>
  <si>
    <t>R19</t>
  </si>
  <si>
    <t>R20,R21,R27,R37</t>
  </si>
  <si>
    <t>R22,R23,R24,R25,R26</t>
  </si>
  <si>
    <t>R46</t>
  </si>
  <si>
    <t>RES, 100K, 5%, 1/10W, 0402</t>
  </si>
  <si>
    <t>ERJ-2GEJ104X</t>
  </si>
  <si>
    <t>R47,R48,R49,R50,R51</t>
  </si>
  <si>
    <t>470ohm</t>
  </si>
  <si>
    <t>RES, 470 OHM, 1%, 1/10W, 0603, SMD</t>
  </si>
  <si>
    <t>Bourns</t>
  </si>
  <si>
    <t>CR0603-FX-4700ELF</t>
  </si>
  <si>
    <t>R61</t>
  </si>
  <si>
    <t>2.94K</t>
  </si>
  <si>
    <t>RES, 2.94K OHM, 1/10W, 1%, 0603, SMD</t>
  </si>
  <si>
    <t>RMCF0603FT2K94</t>
  </si>
  <si>
    <t>SW1,SW3</t>
  </si>
  <si>
    <t>U2</t>
  </si>
  <si>
    <t>U3</t>
  </si>
  <si>
    <t>U7</t>
  </si>
  <si>
    <t>U8</t>
  </si>
  <si>
    <t>MCP73831T-2ATI/OT</t>
  </si>
  <si>
    <t>IC CONTROLLR LI-ION 4.2V SOT23-5</t>
  </si>
  <si>
    <t>Microchip Technology</t>
  </si>
  <si>
    <t>Unit Price (250)</t>
  </si>
  <si>
    <t>Total Cost</t>
  </si>
  <si>
    <t xml:space="preserve">Prototping Kit (base board) Cost </t>
  </si>
  <si>
    <t>Logistic Overhead(9%)</t>
  </si>
  <si>
    <t>Total Material Cost</t>
  </si>
  <si>
    <t>MFG Margins(35%)</t>
  </si>
  <si>
    <t>Total Kit Cost</t>
  </si>
  <si>
    <t>BOX</t>
  </si>
  <si>
    <t>HW, OVERLAY, Acrylic, TBD</t>
  </si>
  <si>
    <t>700-60141-01</t>
  </si>
  <si>
    <t>ACC8</t>
  </si>
  <si>
    <t>SSD1306</t>
  </si>
  <si>
    <t>HW, Diymall 0.96" Inch Blue I2c IIC Serial 128x64</t>
  </si>
  <si>
    <t>LED2,LED3,LED4</t>
  </si>
  <si>
    <t>84.5K</t>
  </si>
  <si>
    <t>RES, 84.5K OHM, 1%, 100PPM, 1/16W, 0402, SMD</t>
  </si>
  <si>
    <t>RC0402FR-0784K5L</t>
  </si>
  <si>
    <t>R31,R33,R43,R44,R45,R57,R58</t>
  </si>
  <si>
    <t>R49,R50,R51</t>
  </si>
  <si>
    <t>JS202011JCQN</t>
  </si>
  <si>
    <t>SWITCH SLIDE DPDT 300MA 6V</t>
  </si>
  <si>
    <t>C&amp;K Components</t>
  </si>
  <si>
    <t>TP1,TP2,TP3,TP4,TP5,TP6,TP7</t>
  </si>
  <si>
    <t>530-60130-01</t>
  </si>
  <si>
    <t>BMI160</t>
  </si>
  <si>
    <t>IMU ACCEL/GYRO I2C/SPI 14LGA</t>
  </si>
  <si>
    <t>Bosch Sensortec</t>
  </si>
  <si>
    <t>Rev 00.6</t>
  </si>
  <si>
    <t>798-00004-01</t>
  </si>
  <si>
    <t>ACC9</t>
  </si>
  <si>
    <t>Adhesive Tape</t>
  </si>
  <si>
    <t>ADHESIVE, 3M 4412N EXTREME SEALING TAPE 44, 15mm X 15mm</t>
  </si>
  <si>
    <t>3M</t>
  </si>
  <si>
    <t>2-5-4412N</t>
  </si>
  <si>
    <t>N/A</t>
  </si>
  <si>
    <t>CapSense</t>
  </si>
  <si>
    <t>CapSense Button Circle Solid</t>
  </si>
  <si>
    <t xml:space="preserve">CapSense Slider 5 Seg </t>
  </si>
  <si>
    <t>C22</t>
  </si>
  <si>
    <t>R16,R17</t>
  </si>
  <si>
    <t>R20,R22,R23,R24,R25,R26,R27</t>
  </si>
  <si>
    <t>300K</t>
  </si>
  <si>
    <t>RES, 300K OHM, 5%, 1/16W, 0402</t>
  </si>
  <si>
    <t>RC0402JR-07300KL</t>
  </si>
  <si>
    <t>-N/A-</t>
  </si>
  <si>
    <t>CapSense, Slider, 5 Segment, Self</t>
  </si>
  <si>
    <t>ASSY, PCBA, PSoC 6 WiFi-BT Remote Control Board</t>
  </si>
  <si>
    <t>PCB, BARE, PSoC 6 WiFi-BT Remote Control Board</t>
  </si>
  <si>
    <t>DRW, FABRICATION DRAWING, PSoC 6 WiFi-BT Remote Control Board</t>
  </si>
  <si>
    <t>DRW, ASSEMBLY DRAWING, PSoC 6 WiFi-BT Remote Control Board</t>
  </si>
  <si>
    <t>DRW, SCHEMATIC DRAWING, PSoC 6 WiFi-BT Remote Control Board</t>
  </si>
  <si>
    <t>C23,C38</t>
  </si>
  <si>
    <t>LED5</t>
  </si>
  <si>
    <t>R1,R14,R21</t>
  </si>
  <si>
    <t>R2,R28,R29,R30,R32,R34,R35,R36,R37,R40,R41,R42,R47,R48,R52,R53,R54,R55,R56,R59,R60</t>
  </si>
  <si>
    <t>R15</t>
  </si>
  <si>
    <t>4.02K</t>
  </si>
  <si>
    <t>RES, 4.02K OHM, 1/10W, 1%, 0603, SMD</t>
  </si>
  <si>
    <t>RC0603FR-074K02L</t>
  </si>
  <si>
    <t>SW1</t>
  </si>
  <si>
    <t>SW2</t>
  </si>
  <si>
    <t>U6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</si>
</sst>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5" fillId="0" borderId="4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5" applyNumberFormat="0" applyAlignment="0" applyProtection="0"/>
    <xf numFmtId="0" fontId="10" fillId="6" borderId="6" applyNumberFormat="0" applyAlignment="0" applyProtection="0"/>
    <xf numFmtId="0" fontId="11" fillId="6" borderId="5" applyNumberFormat="0" applyAlignment="0" applyProtection="0"/>
    <xf numFmtId="0" fontId="12" fillId="0" borderId="7" applyNumberFormat="0" applyFill="0" applyAlignment="0" applyProtection="0"/>
    <xf numFmtId="0" fontId="13" fillId="7" borderId="8" applyNumberFormat="0" applyAlignment="0" applyProtection="0"/>
    <xf numFmtId="0" fontId="14" fillId="0" borderId="0" applyNumberFormat="0" applyFill="0" applyBorder="0" applyAlignment="0" applyProtection="0"/>
    <xf numFmtId="0" fontId="1" fillId="8" borderId="9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10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3" fillId="0" borderId="0"/>
  </cellStyleXfs>
  <cellXfs count="37">
    <xf numFmtId="0" fontId="0" fillId="0" borderId="0" xfId="0"/>
    <xf numFmtId="0" fontId="0" fillId="0" borderId="1" xfId="0" applyBorder="1" applyAlignment="1">
      <alignment wrapText="1"/>
    </xf>
    <xf numFmtId="0" fontId="0" fillId="0" borderId="1" xfId="0" applyBorder="1" applyAlignment="1">
      <alignment horizontal="center" wrapText="1"/>
    </xf>
    <xf numFmtId="14" fontId="0" fillId="0" borderId="1" xfId="0" applyNumberFormat="1" applyBorder="1" applyAlignment="1">
      <alignment horizontal="center" wrapText="1"/>
    </xf>
    <xf numFmtId="1" fontId="0" fillId="0" borderId="14" xfId="0" quotePrefix="1" applyNumberFormat="1" applyBorder="1" applyAlignment="1">
      <alignment horizontal="center"/>
    </xf>
    <xf numFmtId="0" fontId="19" fillId="0" borderId="0" xfId="0" applyFont="1"/>
    <xf numFmtId="0" fontId="0" fillId="0" borderId="14" xfId="0" applyBorder="1" applyAlignment="1">
      <alignment horizontal="center"/>
    </xf>
    <xf numFmtId="0" fontId="0" fillId="0" borderId="0" xfId="0"/>
    <xf numFmtId="0" fontId="0" fillId="0" borderId="0" xfId="0" applyBorder="1"/>
    <xf numFmtId="0" fontId="0" fillId="0" borderId="0" xfId="0"/>
    <xf numFmtId="0" fontId="18" fillId="33" borderId="14" xfId="0" applyFont="1" applyFill="1" applyBorder="1" applyAlignment="1">
      <alignment horizontal="center" vertical="center" wrapText="1"/>
    </xf>
    <xf numFmtId="0" fontId="18" fillId="0" borderId="14" xfId="0" applyFont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left"/>
    </xf>
    <xf numFmtId="0" fontId="18" fillId="34" borderId="14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 wrapText="1"/>
    </xf>
    <xf numFmtId="0" fontId="20" fillId="0" borderId="1" xfId="0" applyFont="1" applyBorder="1" applyAlignment="1">
      <alignment horizontal="center" wrapText="1"/>
    </xf>
    <xf numFmtId="49" fontId="18" fillId="33" borderId="14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20" fillId="0" borderId="1" xfId="0" applyFont="1" applyFill="1" applyBorder="1" applyAlignment="1">
      <alignment horizontal="center" wrapText="1"/>
    </xf>
    <xf numFmtId="0" fontId="0" fillId="0" borderId="1" xfId="0" applyBorder="1"/>
    <xf numFmtId="0" fontId="16" fillId="0" borderId="1" xfId="0" applyFont="1" applyBorder="1"/>
    <xf numFmtId="0" fontId="16" fillId="0" borderId="1" xfId="0" applyFont="1" applyBorder="1" applyAlignment="1">
      <alignment horizontal="left"/>
    </xf>
    <xf numFmtId="0" fontId="0" fillId="0" borderId="1" xfId="0" applyFill="1" applyBorder="1"/>
    <xf numFmtId="0" fontId="16" fillId="36" borderId="1" xfId="0" applyFont="1" applyFill="1" applyBorder="1" applyAlignment="1">
      <alignment horizontal="left"/>
    </xf>
    <xf numFmtId="0" fontId="0" fillId="36" borderId="1" xfId="0" applyFill="1" applyBorder="1"/>
    <xf numFmtId="0" fontId="0" fillId="0" borderId="1" xfId="0" applyFill="1" applyBorder="1" applyAlignment="1">
      <alignment horizontal="right" wrapText="1"/>
    </xf>
    <xf numFmtId="0" fontId="22" fillId="35" borderId="1" xfId="0" applyFont="1" applyFill="1" applyBorder="1" applyAlignment="1">
      <alignment horizontal="center" wrapText="1"/>
    </xf>
    <xf numFmtId="0" fontId="19" fillId="33" borderId="11" xfId="0" applyFont="1" applyFill="1" applyBorder="1" applyAlignment="1">
      <alignment horizontal="center" vertical="center" wrapText="1"/>
    </xf>
    <xf numFmtId="0" fontId="0" fillId="33" borderId="12" xfId="0" applyFill="1" applyBorder="1" applyAlignment="1">
      <alignment horizontal="center" vertical="center" wrapText="1"/>
    </xf>
    <xf numFmtId="0" fontId="0" fillId="33" borderId="13" xfId="0" applyFill="1" applyBorder="1" applyAlignment="1">
      <alignment horizontal="center" vertical="center" wrapText="1"/>
    </xf>
    <xf numFmtId="0" fontId="18" fillId="33" borderId="11" xfId="0" applyFont="1" applyFill="1" applyBorder="1" applyAlignment="1">
      <alignment horizontal="center" vertical="center" wrapText="1"/>
    </xf>
    <xf numFmtId="164" fontId="18" fillId="33" borderId="11" xfId="0" applyNumberFormat="1" applyFont="1" applyFill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wrapText="1"/>
    </xf>
    <xf numFmtId="0" fontId="16" fillId="0" borderId="15" xfId="0" applyFont="1" applyFill="1" applyBorder="1" applyAlignment="1">
      <alignment horizontal="center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0000000-0005-0000-0000-000025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100852</xdr:colOff>
      <xdr:row>0</xdr:row>
      <xdr:rowOff>168088</xdr:rowOff>
    </xdr:from>
    <xdr:to>
      <xdr:col>3</xdr:col>
      <xdr:colOff>1998679</xdr:colOff>
      <xdr:row>7</xdr:row>
      <xdr:rowOff>56029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852" y="168088"/>
          <a:ext cx="3937298" cy="1221441"/>
        </a:xfrm>
        <a:prstGeom prst="rect">
          <a:avLst/>
        </a:prstGeom>
        <a:solidFill>
          <a:schemeClr val="bg1"/>
        </a:solid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1250830</xdr:colOff>
          <xdr:row>7</xdr:row>
          <xdr:rowOff>198408</xdr:rowOff>
        </xdr:from>
        <xdr:to>
          <xdr:col>4</xdr:col>
          <xdr:colOff>974785</xdr:colOff>
          <xdr:row>10</xdr:row>
          <xdr:rowOff>17253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56030</xdr:colOff>
      <xdr:row>1</xdr:row>
      <xdr:rowOff>0</xdr:rowOff>
    </xdr:from>
    <xdr:to>
      <xdr:col>3</xdr:col>
      <xdr:colOff>2071625</xdr:colOff>
      <xdr:row>6</xdr:row>
      <xdr:rowOff>123265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190500"/>
          <a:ext cx="3937298" cy="1221441"/>
        </a:xfrm>
        <a:prstGeom prst="rect">
          <a:avLst/>
        </a:prstGeom>
        <a:solidFill>
          <a:schemeClr val="bg1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0:T196"/>
  <sheetViews>
    <sheetView zoomScale="85" zoomScaleNormal="85" workbookViewId="0">
      <selection activeCell="B14" sqref="B14"/>
    </sheetView>
  </sheetViews>
  <sheetFormatPr defaultColWidth="9.125" defaultRowHeight="14.3" x14ac:dyDescent="0.25"/>
  <cols>
    <col min="1" max="1" width="9.125" style="7"/>
    <col min="2" max="3" width="10.75" style="7" customWidth="1"/>
    <col min="4" max="4" width="45.75" style="7" customWidth="1"/>
    <col min="5" max="6" width="15.75" style="7" customWidth="1"/>
    <col min="7" max="16384" width="9.125" style="7"/>
  </cols>
  <sheetData>
    <row r="10" spans="1:6" ht="18.350000000000001" x14ac:dyDescent="0.3">
      <c r="B10" s="5" t="s">
        <v>183</v>
      </c>
    </row>
    <row r="12" spans="1:6" ht="15.8" x14ac:dyDescent="0.25">
      <c r="B12" s="11" t="s">
        <v>7</v>
      </c>
      <c r="C12" s="11" t="s">
        <v>8</v>
      </c>
      <c r="D12" s="11" t="s">
        <v>5</v>
      </c>
      <c r="E12" s="11" t="s">
        <v>18</v>
      </c>
      <c r="F12" s="11" t="s">
        <v>19</v>
      </c>
    </row>
    <row r="13" spans="1:6" x14ac:dyDescent="0.25">
      <c r="B13" s="4">
        <v>1</v>
      </c>
      <c r="C13" s="3">
        <v>43253</v>
      </c>
      <c r="D13" s="1" t="s">
        <v>84</v>
      </c>
      <c r="E13" s="2" t="s">
        <v>85</v>
      </c>
      <c r="F13" s="6"/>
    </row>
    <row r="14" spans="1:6" x14ac:dyDescent="0.25">
      <c r="A14" s="9"/>
      <c r="B14" s="4">
        <v>2</v>
      </c>
      <c r="C14" s="3">
        <v>43335</v>
      </c>
      <c r="D14" s="1" t="s">
        <v>184</v>
      </c>
      <c r="E14" s="2" t="s">
        <v>85</v>
      </c>
      <c r="F14" s="6"/>
    </row>
    <row r="15" spans="1:6" x14ac:dyDescent="0.25">
      <c r="A15" s="9"/>
      <c r="B15" s="4"/>
      <c r="C15" s="3"/>
      <c r="D15" s="1"/>
      <c r="E15" s="2"/>
      <c r="F15" s="6"/>
    </row>
    <row r="16" spans="1:6" x14ac:dyDescent="0.25">
      <c r="A16" s="9"/>
      <c r="B16" s="4"/>
      <c r="C16" s="3"/>
      <c r="D16" s="1"/>
      <c r="E16" s="2"/>
      <c r="F16" s="6"/>
    </row>
    <row r="17" spans="1:6" x14ac:dyDescent="0.25">
      <c r="A17" s="9"/>
      <c r="B17" s="4"/>
      <c r="C17" s="3"/>
      <c r="D17" s="1"/>
      <c r="E17" s="2"/>
      <c r="F17" s="6"/>
    </row>
    <row r="18" spans="1:6" x14ac:dyDescent="0.25">
      <c r="A18" s="9"/>
      <c r="B18" s="4"/>
      <c r="C18" s="3"/>
      <c r="D18" s="1"/>
      <c r="E18" s="2"/>
      <c r="F18" s="6"/>
    </row>
    <row r="19" spans="1:6" x14ac:dyDescent="0.25">
      <c r="A19" s="9"/>
      <c r="B19" s="4"/>
      <c r="C19" s="3"/>
      <c r="D19" s="1"/>
      <c r="E19" s="2"/>
      <c r="F19" s="6"/>
    </row>
    <row r="20" spans="1:6" x14ac:dyDescent="0.25">
      <c r="A20" s="9"/>
      <c r="B20" s="4"/>
      <c r="C20" s="3"/>
      <c r="D20" s="1"/>
      <c r="E20" s="2"/>
      <c r="F20" s="6"/>
    </row>
    <row r="21" spans="1:6" x14ac:dyDescent="0.25">
      <c r="A21" s="9"/>
      <c r="B21" s="4"/>
      <c r="C21" s="3"/>
      <c r="D21" s="1"/>
      <c r="E21" s="2"/>
      <c r="F21" s="6"/>
    </row>
    <row r="22" spans="1:6" x14ac:dyDescent="0.25">
      <c r="A22" s="9"/>
      <c r="B22" s="4"/>
      <c r="C22" s="3"/>
      <c r="D22" s="1"/>
      <c r="E22" s="2"/>
      <c r="F22" s="6"/>
    </row>
    <row r="23" spans="1:6" x14ac:dyDescent="0.25">
      <c r="A23" s="9"/>
      <c r="B23" s="4"/>
      <c r="C23" s="3"/>
      <c r="D23" s="1"/>
      <c r="E23" s="2"/>
      <c r="F23" s="6"/>
    </row>
    <row r="24" spans="1:6" x14ac:dyDescent="0.25">
      <c r="A24" s="9"/>
      <c r="B24" s="4"/>
      <c r="C24" s="3"/>
      <c r="D24" s="1"/>
      <c r="E24" s="2"/>
      <c r="F24" s="6"/>
    </row>
    <row r="25" spans="1:6" x14ac:dyDescent="0.25">
      <c r="A25" s="9"/>
    </row>
    <row r="26" spans="1:6" x14ac:dyDescent="0.25">
      <c r="A26" s="9"/>
    </row>
    <row r="27" spans="1:6" x14ac:dyDescent="0.25">
      <c r="A27" s="9"/>
    </row>
    <row r="28" spans="1:6" x14ac:dyDescent="0.25">
      <c r="A28" s="9"/>
    </row>
    <row r="29" spans="1:6" x14ac:dyDescent="0.25">
      <c r="A29" s="9"/>
    </row>
    <row r="30" spans="1:6" x14ac:dyDescent="0.25">
      <c r="A30" s="9"/>
    </row>
    <row r="31" spans="1:6" x14ac:dyDescent="0.25">
      <c r="A31" s="9"/>
    </row>
    <row r="32" spans="1:6" x14ac:dyDescent="0.25">
      <c r="A32" s="9"/>
    </row>
    <row r="33" spans="1:1" x14ac:dyDescent="0.25">
      <c r="A33" s="9"/>
    </row>
    <row r="34" spans="1:1" x14ac:dyDescent="0.25">
      <c r="A34" s="9"/>
    </row>
    <row r="35" spans="1:1" x14ac:dyDescent="0.25">
      <c r="A35" s="9"/>
    </row>
    <row r="36" spans="1:1" x14ac:dyDescent="0.25">
      <c r="A36" s="9"/>
    </row>
    <row r="37" spans="1:1" x14ac:dyDescent="0.25">
      <c r="A37" s="9"/>
    </row>
    <row r="38" spans="1:1" x14ac:dyDescent="0.25">
      <c r="A38" s="9"/>
    </row>
    <row r="39" spans="1:1" x14ac:dyDescent="0.25">
      <c r="A39" s="9"/>
    </row>
    <row r="40" spans="1:1" x14ac:dyDescent="0.25">
      <c r="A40" s="9"/>
    </row>
    <row r="41" spans="1:1" x14ac:dyDescent="0.25">
      <c r="A41" s="9"/>
    </row>
    <row r="42" spans="1:1" x14ac:dyDescent="0.25">
      <c r="A42" s="9"/>
    </row>
    <row r="43" spans="1:1" x14ac:dyDescent="0.25">
      <c r="A43" s="9"/>
    </row>
    <row r="44" spans="1:1" x14ac:dyDescent="0.25">
      <c r="A44" s="9"/>
    </row>
    <row r="45" spans="1:1" x14ac:dyDescent="0.25">
      <c r="A45" s="9"/>
    </row>
    <row r="46" spans="1:1" x14ac:dyDescent="0.25">
      <c r="A46" s="9"/>
    </row>
    <row r="47" spans="1:1" x14ac:dyDescent="0.25">
      <c r="A47" s="9"/>
    </row>
    <row r="48" spans="1:1" x14ac:dyDescent="0.25">
      <c r="A48" s="9"/>
    </row>
    <row r="49" spans="1:1" x14ac:dyDescent="0.25">
      <c r="A49" s="9"/>
    </row>
    <row r="50" spans="1:1" x14ac:dyDescent="0.25">
      <c r="A50" s="9"/>
    </row>
    <row r="51" spans="1:1" x14ac:dyDescent="0.25">
      <c r="A51" s="9"/>
    </row>
    <row r="52" spans="1:1" x14ac:dyDescent="0.25">
      <c r="A52" s="9"/>
    </row>
    <row r="53" spans="1:1" x14ac:dyDescent="0.25">
      <c r="A53" s="9"/>
    </row>
    <row r="54" spans="1:1" x14ac:dyDescent="0.25">
      <c r="A54" s="9"/>
    </row>
    <row r="55" spans="1:1" x14ac:dyDescent="0.25">
      <c r="A55" s="9"/>
    </row>
    <row r="56" spans="1:1" x14ac:dyDescent="0.25">
      <c r="A56" s="9"/>
    </row>
    <row r="57" spans="1:1" x14ac:dyDescent="0.25">
      <c r="A57" s="9"/>
    </row>
    <row r="58" spans="1:1" x14ac:dyDescent="0.25">
      <c r="A58" s="9"/>
    </row>
    <row r="59" spans="1:1" x14ac:dyDescent="0.25">
      <c r="A59" s="9"/>
    </row>
    <row r="60" spans="1:1" x14ac:dyDescent="0.25">
      <c r="A60" s="9"/>
    </row>
    <row r="61" spans="1:1" x14ac:dyDescent="0.25">
      <c r="A61" s="9"/>
    </row>
    <row r="62" spans="1:1" x14ac:dyDescent="0.25">
      <c r="A62" s="9"/>
    </row>
    <row r="63" spans="1:1" x14ac:dyDescent="0.25">
      <c r="A63" s="9"/>
    </row>
    <row r="64" spans="1:1" x14ac:dyDescent="0.25">
      <c r="A64" s="9"/>
    </row>
    <row r="65" spans="1:1" x14ac:dyDescent="0.25">
      <c r="A65" s="9"/>
    </row>
    <row r="66" spans="1:1" x14ac:dyDescent="0.25">
      <c r="A66" s="9"/>
    </row>
    <row r="67" spans="1:1" x14ac:dyDescent="0.25">
      <c r="A67" s="9"/>
    </row>
    <row r="68" spans="1:1" x14ac:dyDescent="0.25">
      <c r="A68" s="9"/>
    </row>
    <row r="69" spans="1:1" x14ac:dyDescent="0.25">
      <c r="A69" s="9"/>
    </row>
    <row r="70" spans="1:1" x14ac:dyDescent="0.25">
      <c r="A70" s="9"/>
    </row>
    <row r="71" spans="1:1" x14ac:dyDescent="0.25">
      <c r="A71" s="9"/>
    </row>
    <row r="72" spans="1:1" x14ac:dyDescent="0.25">
      <c r="A72" s="9"/>
    </row>
    <row r="73" spans="1:1" x14ac:dyDescent="0.25">
      <c r="A73" s="9"/>
    </row>
    <row r="74" spans="1:1" x14ac:dyDescent="0.25">
      <c r="A74" s="9"/>
    </row>
    <row r="75" spans="1:1" x14ac:dyDescent="0.25">
      <c r="A75" s="9"/>
    </row>
    <row r="76" spans="1:1" x14ac:dyDescent="0.25">
      <c r="A76" s="9"/>
    </row>
    <row r="77" spans="1:1" x14ac:dyDescent="0.25">
      <c r="A77" s="9"/>
    </row>
    <row r="78" spans="1:1" x14ac:dyDescent="0.25">
      <c r="A78" s="9"/>
    </row>
    <row r="79" spans="1:1" x14ac:dyDescent="0.25">
      <c r="A79" s="9"/>
    </row>
    <row r="196" spans="20:20" x14ac:dyDescent="0.25">
      <c r="T196" s="7" t="s">
        <v>17</v>
      </c>
    </row>
  </sheetData>
  <pageMargins left="0.25" right="0.25" top="0.75" bottom="0.75" header="0.3" footer="0.3"/>
  <pageSetup fitToHeight="0" orientation="landscape" r:id="rId1"/>
  <colBreaks count="1" manualBreakCount="1">
    <brk id="8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N1100"/>
  <sheetViews>
    <sheetView tabSelected="1" topLeftCell="A7" zoomScale="85" zoomScaleNormal="85" zoomScaleSheetLayoutView="85" zoomScalePageLayoutView="85" workbookViewId="0">
      <selection activeCell="F30" sqref="F30"/>
    </sheetView>
  </sheetViews>
  <sheetFormatPr defaultColWidth="9.125" defaultRowHeight="14.3" x14ac:dyDescent="0.25"/>
  <cols>
    <col min="1" max="1" width="3.125" style="12" bestFit="1" customWidth="1"/>
    <col min="2" max="2" width="22" style="14" customWidth="1"/>
    <col min="3" max="3" width="4.125" style="12" bestFit="1" customWidth="1"/>
    <col min="4" max="4" width="41" style="14" customWidth="1"/>
    <col min="5" max="5" width="25.75" style="14" customWidth="1"/>
    <col min="6" max="6" width="53.25" style="14" bestFit="1" customWidth="1"/>
    <col min="7" max="7" width="38.25" style="14" bestFit="1" customWidth="1"/>
    <col min="8" max="8" width="40.75" style="14" customWidth="1"/>
    <col min="9" max="9" width="22.875" style="8" bestFit="1" customWidth="1"/>
    <col min="10" max="10" width="19.375" style="8" bestFit="1" customWidth="1"/>
    <col min="11" max="16384" width="9.125" style="8"/>
  </cols>
  <sheetData>
    <row r="2" spans="1:14" ht="22.6" customHeight="1" x14ac:dyDescent="0.25">
      <c r="F2" s="30" t="s">
        <v>25</v>
      </c>
      <c r="G2" s="31"/>
      <c r="H2" s="32"/>
    </row>
    <row r="3" spans="1:14" ht="15.65" x14ac:dyDescent="0.25">
      <c r="F3" s="15" t="s">
        <v>0</v>
      </c>
      <c r="G3" s="33" t="s">
        <v>187</v>
      </c>
      <c r="H3" s="32"/>
    </row>
    <row r="4" spans="1:14" ht="15.65" x14ac:dyDescent="0.25">
      <c r="F4" s="15" t="s">
        <v>26</v>
      </c>
      <c r="G4" s="10" t="s">
        <v>189</v>
      </c>
      <c r="H4" s="10" t="s">
        <v>190</v>
      </c>
    </row>
    <row r="5" spans="1:14" ht="15.65" x14ac:dyDescent="0.25">
      <c r="F5" s="15" t="s">
        <v>10</v>
      </c>
      <c r="G5" s="10" t="s">
        <v>188</v>
      </c>
      <c r="H5" s="19" t="s">
        <v>290</v>
      </c>
    </row>
    <row r="6" spans="1:14" ht="15.65" x14ac:dyDescent="0.25">
      <c r="F6" s="15" t="s">
        <v>1</v>
      </c>
      <c r="G6" s="34">
        <v>43353</v>
      </c>
      <c r="H6" s="32"/>
    </row>
    <row r="7" spans="1:14" ht="15.65" x14ac:dyDescent="0.25">
      <c r="F7" s="15" t="s">
        <v>9</v>
      </c>
      <c r="G7" s="33" t="s">
        <v>190</v>
      </c>
      <c r="H7" s="32"/>
    </row>
    <row r="8" spans="1:14" ht="15.8" x14ac:dyDescent="0.25">
      <c r="F8" s="15" t="s">
        <v>11</v>
      </c>
      <c r="G8" s="33" t="s">
        <v>12</v>
      </c>
      <c r="H8" s="32"/>
    </row>
    <row r="9" spans="1:14" ht="15.8" x14ac:dyDescent="0.25">
      <c r="F9" s="15" t="s">
        <v>13</v>
      </c>
      <c r="G9" s="33" t="s">
        <v>12</v>
      </c>
      <c r="H9" s="32"/>
    </row>
    <row r="11" spans="1:14" x14ac:dyDescent="0.25">
      <c r="A11" s="13"/>
      <c r="B11"/>
      <c r="C11" s="13"/>
      <c r="D11"/>
      <c r="E11"/>
      <c r="F11"/>
      <c r="G11"/>
      <c r="H11"/>
      <c r="I11"/>
      <c r="J11"/>
      <c r="K11"/>
      <c r="L11"/>
      <c r="M11"/>
      <c r="N11"/>
    </row>
    <row r="12" spans="1:14" x14ac:dyDescent="0.25">
      <c r="A12" s="18" t="s">
        <v>14</v>
      </c>
      <c r="B12" s="18" t="s">
        <v>15</v>
      </c>
      <c r="C12" s="18" t="s">
        <v>2</v>
      </c>
      <c r="D12" s="18" t="s">
        <v>3</v>
      </c>
      <c r="E12" s="18" t="s">
        <v>4</v>
      </c>
      <c r="F12" s="18" t="s">
        <v>5</v>
      </c>
      <c r="G12" s="18" t="s">
        <v>6</v>
      </c>
      <c r="H12" s="18" t="s">
        <v>16</v>
      </c>
      <c r="I12" s="18" t="s">
        <v>20</v>
      </c>
      <c r="J12" s="18" t="s">
        <v>21</v>
      </c>
      <c r="K12"/>
      <c r="L12"/>
      <c r="M12"/>
      <c r="N12"/>
    </row>
    <row r="13" spans="1:14" x14ac:dyDescent="0.25">
      <c r="A13" s="2">
        <v>1</v>
      </c>
      <c r="B13" s="17" t="s">
        <v>87</v>
      </c>
      <c r="C13" s="2">
        <v>1</v>
      </c>
      <c r="D13" s="17" t="s">
        <v>196</v>
      </c>
      <c r="E13" s="17" t="s">
        <v>41</v>
      </c>
      <c r="F13" s="17" t="s">
        <v>178</v>
      </c>
      <c r="G13" s="17" t="s">
        <v>118</v>
      </c>
      <c r="H13" s="17" t="s">
        <v>42</v>
      </c>
      <c r="I13" s="17"/>
      <c r="J13" s="17"/>
      <c r="K13"/>
      <c r="L13"/>
      <c r="M13"/>
      <c r="N13"/>
    </row>
    <row r="14" spans="1:14" x14ac:dyDescent="0.25">
      <c r="A14" s="2">
        <v>2</v>
      </c>
      <c r="B14" s="17" t="s">
        <v>38</v>
      </c>
      <c r="C14" s="2">
        <v>11</v>
      </c>
      <c r="D14" s="17" t="s">
        <v>197</v>
      </c>
      <c r="E14" s="17" t="s">
        <v>43</v>
      </c>
      <c r="F14" s="17" t="s">
        <v>92</v>
      </c>
      <c r="G14" s="17" t="s">
        <v>93</v>
      </c>
      <c r="H14" s="17" t="s">
        <v>88</v>
      </c>
      <c r="I14" s="17"/>
      <c r="J14" s="17"/>
      <c r="K14"/>
      <c r="L14"/>
      <c r="M14"/>
      <c r="N14"/>
    </row>
    <row r="15" spans="1:14" ht="28.55" x14ac:dyDescent="0.25">
      <c r="A15" s="2">
        <v>3</v>
      </c>
      <c r="B15" s="17" t="s">
        <v>34</v>
      </c>
      <c r="C15" s="2">
        <v>14</v>
      </c>
      <c r="D15" s="17" t="s">
        <v>198</v>
      </c>
      <c r="E15" s="17" t="s">
        <v>35</v>
      </c>
      <c r="F15" s="17" t="s">
        <v>94</v>
      </c>
      <c r="G15" s="17" t="s">
        <v>36</v>
      </c>
      <c r="H15" s="17" t="s">
        <v>37</v>
      </c>
      <c r="I15" s="17"/>
      <c r="J15" s="17"/>
      <c r="K15"/>
      <c r="L15"/>
      <c r="M15"/>
      <c r="N15"/>
    </row>
    <row r="16" spans="1:14" x14ac:dyDescent="0.25">
      <c r="A16" s="2">
        <v>4</v>
      </c>
      <c r="B16" s="17" t="s">
        <v>172</v>
      </c>
      <c r="C16" s="2">
        <v>2</v>
      </c>
      <c r="D16" s="17" t="s">
        <v>314</v>
      </c>
      <c r="E16" s="17" t="s">
        <v>39</v>
      </c>
      <c r="F16" s="17" t="s">
        <v>173</v>
      </c>
      <c r="G16" s="17" t="s">
        <v>118</v>
      </c>
      <c r="H16" s="17" t="s">
        <v>174</v>
      </c>
      <c r="I16" s="17"/>
      <c r="J16" s="17"/>
      <c r="K16"/>
      <c r="L16"/>
      <c r="M16"/>
      <c r="N16"/>
    </row>
    <row r="17" spans="1:14" x14ac:dyDescent="0.25">
      <c r="A17" s="2">
        <v>5</v>
      </c>
      <c r="B17" s="17" t="s">
        <v>175</v>
      </c>
      <c r="C17" s="2">
        <v>3</v>
      </c>
      <c r="D17" s="17" t="s">
        <v>199</v>
      </c>
      <c r="E17" s="17" t="s">
        <v>145</v>
      </c>
      <c r="F17" s="17" t="s">
        <v>176</v>
      </c>
      <c r="G17" s="17" t="s">
        <v>118</v>
      </c>
      <c r="H17" s="17" t="s">
        <v>177</v>
      </c>
      <c r="I17" s="17"/>
      <c r="J17" s="17"/>
      <c r="K17"/>
      <c r="L17"/>
      <c r="M17"/>
      <c r="N17"/>
    </row>
    <row r="18" spans="1:14" x14ac:dyDescent="0.25">
      <c r="A18" s="2">
        <v>6</v>
      </c>
      <c r="B18" s="17" t="s">
        <v>161</v>
      </c>
      <c r="C18" s="2">
        <v>4</v>
      </c>
      <c r="D18" s="17" t="s">
        <v>200</v>
      </c>
      <c r="E18" s="17" t="s">
        <v>162</v>
      </c>
      <c r="F18" s="17" t="s">
        <v>163</v>
      </c>
      <c r="G18" s="17" t="s">
        <v>118</v>
      </c>
      <c r="H18" s="17" t="s">
        <v>164</v>
      </c>
      <c r="I18" s="17"/>
      <c r="J18" s="17"/>
      <c r="K18"/>
      <c r="L18"/>
      <c r="M18"/>
      <c r="N18"/>
    </row>
    <row r="19" spans="1:14" x14ac:dyDescent="0.25">
      <c r="A19" s="2">
        <v>7</v>
      </c>
      <c r="B19" s="17" t="s">
        <v>146</v>
      </c>
      <c r="C19" s="2">
        <v>1</v>
      </c>
      <c r="D19" s="17" t="s">
        <v>201</v>
      </c>
      <c r="E19" s="17" t="s">
        <v>147</v>
      </c>
      <c r="F19" s="17" t="s">
        <v>148</v>
      </c>
      <c r="G19" s="17" t="s">
        <v>118</v>
      </c>
      <c r="H19" s="17" t="s">
        <v>149</v>
      </c>
      <c r="I19" s="17"/>
      <c r="J19" s="17"/>
      <c r="K19"/>
      <c r="L19"/>
      <c r="M19"/>
      <c r="N19"/>
    </row>
    <row r="20" spans="1:14" x14ac:dyDescent="0.25">
      <c r="A20" s="2">
        <v>8</v>
      </c>
      <c r="B20" s="17" t="s">
        <v>44</v>
      </c>
      <c r="C20" s="2">
        <v>1</v>
      </c>
      <c r="D20" s="17" t="s">
        <v>203</v>
      </c>
      <c r="E20" s="17" t="s">
        <v>45</v>
      </c>
      <c r="F20" s="17" t="s">
        <v>95</v>
      </c>
      <c r="G20" s="17" t="s">
        <v>46</v>
      </c>
      <c r="H20" s="17" t="s">
        <v>47</v>
      </c>
      <c r="I20" s="17"/>
      <c r="J20" s="17"/>
      <c r="K20"/>
      <c r="L20"/>
      <c r="M20"/>
      <c r="N20"/>
    </row>
    <row r="21" spans="1:14" x14ac:dyDescent="0.25">
      <c r="A21" s="2">
        <v>9</v>
      </c>
      <c r="B21" s="17" t="s">
        <v>91</v>
      </c>
      <c r="C21" s="2">
        <v>1</v>
      </c>
      <c r="D21" s="17" t="s">
        <v>208</v>
      </c>
      <c r="E21" s="17" t="s">
        <v>49</v>
      </c>
      <c r="F21" s="17" t="s">
        <v>96</v>
      </c>
      <c r="G21" s="17" t="s">
        <v>50</v>
      </c>
      <c r="H21" s="17" t="s">
        <v>49</v>
      </c>
      <c r="I21" s="17"/>
      <c r="J21" s="17"/>
      <c r="K21"/>
      <c r="L21"/>
      <c r="M21"/>
      <c r="N21"/>
    </row>
    <row r="22" spans="1:14" x14ac:dyDescent="0.25">
      <c r="A22" s="2">
        <v>10</v>
      </c>
      <c r="B22" s="17"/>
      <c r="C22" s="2">
        <v>1</v>
      </c>
      <c r="D22" s="17" t="s">
        <v>89</v>
      </c>
      <c r="E22" s="17" t="s">
        <v>209</v>
      </c>
      <c r="F22" s="17" t="s">
        <v>210</v>
      </c>
      <c r="G22" s="17" t="s">
        <v>211</v>
      </c>
      <c r="H22" s="17" t="s">
        <v>212</v>
      </c>
      <c r="I22" s="17"/>
      <c r="J22" s="17"/>
      <c r="K22"/>
      <c r="L22"/>
      <c r="M22"/>
      <c r="N22"/>
    </row>
    <row r="23" spans="1:14" x14ac:dyDescent="0.25">
      <c r="A23" s="2">
        <v>11</v>
      </c>
      <c r="B23" s="17"/>
      <c r="C23" s="2">
        <v>1</v>
      </c>
      <c r="D23" s="17" t="s">
        <v>213</v>
      </c>
      <c r="E23" s="17" t="s">
        <v>185</v>
      </c>
      <c r="F23" s="17" t="s">
        <v>125</v>
      </c>
      <c r="G23" s="17" t="s">
        <v>186</v>
      </c>
      <c r="H23" s="17" t="s">
        <v>185</v>
      </c>
      <c r="I23" s="17"/>
      <c r="J23" s="17"/>
      <c r="K23"/>
      <c r="L23"/>
      <c r="M23"/>
      <c r="N23"/>
    </row>
    <row r="24" spans="1:14" x14ac:dyDescent="0.25">
      <c r="A24" s="2">
        <v>12</v>
      </c>
      <c r="B24" s="17" t="s">
        <v>107</v>
      </c>
      <c r="C24" s="2">
        <v>1</v>
      </c>
      <c r="D24" s="17" t="s">
        <v>217</v>
      </c>
      <c r="E24" s="17" t="s">
        <v>51</v>
      </c>
      <c r="F24" s="17" t="s">
        <v>167</v>
      </c>
      <c r="G24" s="17" t="s">
        <v>108</v>
      </c>
      <c r="H24" s="17" t="s">
        <v>109</v>
      </c>
      <c r="I24" s="17"/>
      <c r="J24" s="17"/>
      <c r="K24"/>
      <c r="L24"/>
      <c r="M24"/>
      <c r="N24"/>
    </row>
    <row r="25" spans="1:14" x14ac:dyDescent="0.25">
      <c r="A25" s="2">
        <v>13</v>
      </c>
      <c r="B25" s="17"/>
      <c r="C25" s="2">
        <v>3</v>
      </c>
      <c r="D25" s="17" t="s">
        <v>276</v>
      </c>
      <c r="E25" s="17" t="s">
        <v>219</v>
      </c>
      <c r="F25" s="17" t="s">
        <v>220</v>
      </c>
      <c r="G25" s="17" t="s">
        <v>221</v>
      </c>
      <c r="H25" s="17" t="s">
        <v>222</v>
      </c>
      <c r="I25" s="17"/>
      <c r="J25" s="17"/>
      <c r="K25"/>
      <c r="L25"/>
      <c r="M25"/>
      <c r="N25"/>
    </row>
    <row r="26" spans="1:14" x14ac:dyDescent="0.25">
      <c r="A26" s="2">
        <v>14</v>
      </c>
      <c r="B26" s="17" t="s">
        <v>112</v>
      </c>
      <c r="C26" s="2">
        <v>1</v>
      </c>
      <c r="D26" s="17" t="s">
        <v>315</v>
      </c>
      <c r="E26" s="17" t="s">
        <v>52</v>
      </c>
      <c r="F26" s="17" t="s">
        <v>224</v>
      </c>
      <c r="G26" s="17" t="s">
        <v>108</v>
      </c>
      <c r="H26" s="17" t="s">
        <v>225</v>
      </c>
      <c r="I26" s="17"/>
      <c r="J26" s="17"/>
      <c r="K26"/>
      <c r="L26"/>
      <c r="M26"/>
      <c r="N26"/>
    </row>
    <row r="27" spans="1:14" x14ac:dyDescent="0.25">
      <c r="A27" s="2">
        <v>15</v>
      </c>
      <c r="B27" s="17" t="s">
        <v>160</v>
      </c>
      <c r="C27" s="2">
        <v>1</v>
      </c>
      <c r="D27" s="17" t="s">
        <v>150</v>
      </c>
      <c r="E27" s="17" t="s">
        <v>151</v>
      </c>
      <c r="F27" s="17" t="s">
        <v>152</v>
      </c>
      <c r="G27" s="17" t="s">
        <v>118</v>
      </c>
      <c r="H27" s="17" t="s">
        <v>153</v>
      </c>
      <c r="I27" s="17"/>
      <c r="J27" s="17"/>
      <c r="K27"/>
      <c r="L27"/>
      <c r="M27"/>
      <c r="N27"/>
    </row>
    <row r="28" spans="1:14" x14ac:dyDescent="0.25">
      <c r="A28" s="2">
        <v>16</v>
      </c>
      <c r="B28" s="17"/>
      <c r="C28" s="2">
        <v>1</v>
      </c>
      <c r="D28" s="17" t="s">
        <v>226</v>
      </c>
      <c r="E28" s="17" t="s">
        <v>227</v>
      </c>
      <c r="F28" s="17" t="s">
        <v>228</v>
      </c>
      <c r="G28" s="17"/>
      <c r="H28" s="17" t="s">
        <v>229</v>
      </c>
      <c r="I28" s="17"/>
      <c r="J28" s="17"/>
      <c r="K28"/>
      <c r="L28"/>
      <c r="M28"/>
      <c r="N28"/>
    </row>
    <row r="29" spans="1:14" x14ac:dyDescent="0.25">
      <c r="A29" s="2">
        <v>17</v>
      </c>
      <c r="B29" s="17" t="s">
        <v>58</v>
      </c>
      <c r="C29" s="2">
        <v>3</v>
      </c>
      <c r="D29" s="17" t="s">
        <v>316</v>
      </c>
      <c r="E29" s="17" t="s">
        <v>59</v>
      </c>
      <c r="F29" s="17" t="s">
        <v>168</v>
      </c>
      <c r="G29" s="17" t="s">
        <v>40</v>
      </c>
      <c r="H29" s="17" t="s">
        <v>66</v>
      </c>
      <c r="I29" s="17"/>
      <c r="J29" s="17"/>
      <c r="K29"/>
      <c r="L29"/>
      <c r="M29"/>
      <c r="N29"/>
    </row>
    <row r="30" spans="1:14" ht="28.55" x14ac:dyDescent="0.25">
      <c r="A30" s="2">
        <v>18</v>
      </c>
      <c r="B30" s="17" t="s">
        <v>165</v>
      </c>
      <c r="C30" s="2">
        <v>21</v>
      </c>
      <c r="D30" s="17" t="s">
        <v>317</v>
      </c>
      <c r="E30" s="17" t="s">
        <v>67</v>
      </c>
      <c r="F30" s="17" t="s">
        <v>166</v>
      </c>
      <c r="G30" s="17" t="s">
        <v>68</v>
      </c>
      <c r="H30" s="17" t="s">
        <v>69</v>
      </c>
      <c r="I30" s="17"/>
      <c r="J30" s="17"/>
      <c r="K30"/>
      <c r="L30"/>
      <c r="M30"/>
      <c r="N30"/>
    </row>
    <row r="31" spans="1:14" x14ac:dyDescent="0.25">
      <c r="A31" s="2">
        <v>19</v>
      </c>
      <c r="B31" s="17"/>
      <c r="C31" s="2">
        <v>4</v>
      </c>
      <c r="D31" s="17" t="s">
        <v>232</v>
      </c>
      <c r="E31" s="17" t="s">
        <v>53</v>
      </c>
      <c r="F31" s="17" t="s">
        <v>135</v>
      </c>
      <c r="G31" s="17" t="s">
        <v>40</v>
      </c>
      <c r="H31" s="17" t="s">
        <v>136</v>
      </c>
      <c r="I31" s="17"/>
      <c r="J31" s="17"/>
      <c r="K31"/>
      <c r="L31"/>
      <c r="M31"/>
      <c r="N31"/>
    </row>
    <row r="32" spans="1:14" x14ac:dyDescent="0.25">
      <c r="A32" s="2">
        <v>20</v>
      </c>
      <c r="B32" s="17"/>
      <c r="C32" s="2">
        <v>2</v>
      </c>
      <c r="D32" s="17" t="s">
        <v>233</v>
      </c>
      <c r="E32" s="17" t="s">
        <v>61</v>
      </c>
      <c r="F32" s="17" t="s">
        <v>137</v>
      </c>
      <c r="G32" s="17" t="s">
        <v>40</v>
      </c>
      <c r="H32" s="17" t="s">
        <v>138</v>
      </c>
      <c r="I32" s="17"/>
      <c r="J32" s="17"/>
      <c r="K32"/>
      <c r="L32"/>
      <c r="M32"/>
      <c r="N32"/>
    </row>
    <row r="33" spans="1:14" x14ac:dyDescent="0.25">
      <c r="A33" s="2">
        <v>21</v>
      </c>
      <c r="B33" s="17"/>
      <c r="C33" s="2">
        <v>1</v>
      </c>
      <c r="D33" s="17" t="s">
        <v>234</v>
      </c>
      <c r="E33" s="17" t="s">
        <v>60</v>
      </c>
      <c r="F33" s="17" t="s">
        <v>139</v>
      </c>
      <c r="G33" s="17" t="s">
        <v>111</v>
      </c>
      <c r="H33" s="17" t="s">
        <v>140</v>
      </c>
      <c r="I33" s="17"/>
      <c r="J33" s="17"/>
      <c r="K33"/>
      <c r="L33"/>
      <c r="M33"/>
      <c r="N33"/>
    </row>
    <row r="34" spans="1:14" x14ac:dyDescent="0.25">
      <c r="A34" s="2">
        <v>22</v>
      </c>
      <c r="B34" s="17"/>
      <c r="C34" s="2">
        <v>2</v>
      </c>
      <c r="D34" s="17" t="s">
        <v>236</v>
      </c>
      <c r="E34" s="17" t="s">
        <v>110</v>
      </c>
      <c r="F34" s="17" t="s">
        <v>181</v>
      </c>
      <c r="G34" s="17" t="s">
        <v>40</v>
      </c>
      <c r="H34" s="17" t="s">
        <v>133</v>
      </c>
      <c r="I34" s="17"/>
      <c r="J34" s="17"/>
      <c r="K34"/>
      <c r="L34"/>
      <c r="M34"/>
      <c r="N34"/>
    </row>
    <row r="35" spans="1:14" x14ac:dyDescent="0.25">
      <c r="A35" s="2">
        <v>23</v>
      </c>
      <c r="B35" s="17" t="s">
        <v>55</v>
      </c>
      <c r="C35" s="2">
        <v>2</v>
      </c>
      <c r="D35" s="17" t="s">
        <v>237</v>
      </c>
      <c r="E35" s="17" t="s">
        <v>56</v>
      </c>
      <c r="F35" s="17" t="s">
        <v>99</v>
      </c>
      <c r="G35" s="17" t="s">
        <v>40</v>
      </c>
      <c r="H35" s="17" t="s">
        <v>57</v>
      </c>
      <c r="I35" s="17"/>
      <c r="J35" s="17"/>
      <c r="K35"/>
      <c r="L35"/>
      <c r="M35"/>
      <c r="N35"/>
    </row>
    <row r="36" spans="1:14" x14ac:dyDescent="0.25">
      <c r="A36" s="2">
        <v>24</v>
      </c>
      <c r="B36" s="17" t="s">
        <v>62</v>
      </c>
      <c r="C36" s="2">
        <v>2</v>
      </c>
      <c r="D36" s="17" t="s">
        <v>238</v>
      </c>
      <c r="E36" s="17" t="s">
        <v>63</v>
      </c>
      <c r="F36" s="17" t="s">
        <v>100</v>
      </c>
      <c r="G36" s="17" t="s">
        <v>64</v>
      </c>
      <c r="H36" s="17" t="s">
        <v>65</v>
      </c>
      <c r="I36" s="17"/>
      <c r="J36" s="17"/>
      <c r="K36"/>
      <c r="L36"/>
      <c r="M36"/>
      <c r="N36"/>
    </row>
    <row r="37" spans="1:14" x14ac:dyDescent="0.25">
      <c r="A37" s="2">
        <v>25</v>
      </c>
      <c r="B37" s="17"/>
      <c r="C37" s="2">
        <v>1</v>
      </c>
      <c r="D37" s="17" t="s">
        <v>318</v>
      </c>
      <c r="E37" s="17" t="s">
        <v>304</v>
      </c>
      <c r="F37" s="17" t="s">
        <v>305</v>
      </c>
      <c r="G37" s="17" t="s">
        <v>40</v>
      </c>
      <c r="H37" s="17" t="s">
        <v>306</v>
      </c>
      <c r="I37" s="17"/>
      <c r="J37" s="17"/>
      <c r="K37"/>
      <c r="L37"/>
      <c r="M37"/>
      <c r="N37"/>
    </row>
    <row r="38" spans="1:14" x14ac:dyDescent="0.25">
      <c r="A38" s="2">
        <v>26</v>
      </c>
      <c r="B38" s="17"/>
      <c r="C38" s="2">
        <v>1</v>
      </c>
      <c r="D38" s="17" t="s">
        <v>239</v>
      </c>
      <c r="E38" s="17" t="s">
        <v>277</v>
      </c>
      <c r="F38" s="17" t="s">
        <v>278</v>
      </c>
      <c r="G38" s="17" t="s">
        <v>40</v>
      </c>
      <c r="H38" s="17" t="s">
        <v>279</v>
      </c>
      <c r="I38" s="17"/>
      <c r="J38" s="17"/>
      <c r="K38"/>
      <c r="L38"/>
      <c r="M38"/>
      <c r="N38"/>
    </row>
    <row r="39" spans="1:14" x14ac:dyDescent="0.25">
      <c r="A39" s="2">
        <v>27</v>
      </c>
      <c r="B39" s="17" t="s">
        <v>97</v>
      </c>
      <c r="C39" s="2">
        <v>1</v>
      </c>
      <c r="D39" s="17" t="s">
        <v>240</v>
      </c>
      <c r="E39" s="17" t="s">
        <v>70</v>
      </c>
      <c r="F39" s="17" t="s">
        <v>98</v>
      </c>
      <c r="G39" s="17" t="s">
        <v>40</v>
      </c>
      <c r="H39" s="17" t="s">
        <v>71</v>
      </c>
      <c r="I39" s="17"/>
      <c r="J39" s="17"/>
      <c r="K39"/>
      <c r="L39"/>
      <c r="M39"/>
      <c r="N39"/>
    </row>
    <row r="40" spans="1:14" x14ac:dyDescent="0.25">
      <c r="A40" s="2">
        <v>28</v>
      </c>
      <c r="B40" s="17" t="s">
        <v>130</v>
      </c>
      <c r="C40" s="2">
        <v>7</v>
      </c>
      <c r="D40" s="17" t="s">
        <v>303</v>
      </c>
      <c r="E40" s="17" t="s">
        <v>131</v>
      </c>
      <c r="F40" s="17" t="s">
        <v>132</v>
      </c>
      <c r="G40" s="17" t="s">
        <v>40</v>
      </c>
      <c r="H40" s="17" t="s">
        <v>143</v>
      </c>
      <c r="I40" s="17"/>
      <c r="J40" s="17"/>
      <c r="K40"/>
      <c r="L40"/>
      <c r="M40"/>
      <c r="N40"/>
    </row>
    <row r="41" spans="1:14" x14ac:dyDescent="0.25">
      <c r="A41" s="2">
        <v>29</v>
      </c>
      <c r="B41" s="17"/>
      <c r="C41" s="2">
        <v>1</v>
      </c>
      <c r="D41" s="17" t="s">
        <v>243</v>
      </c>
      <c r="E41" s="17" t="s">
        <v>59</v>
      </c>
      <c r="F41" s="17" t="s">
        <v>244</v>
      </c>
      <c r="G41" s="17" t="s">
        <v>54</v>
      </c>
      <c r="H41" s="17" t="s">
        <v>245</v>
      </c>
      <c r="I41" s="17"/>
      <c r="J41" s="17"/>
      <c r="K41"/>
      <c r="L41"/>
      <c r="M41"/>
      <c r="N41"/>
    </row>
    <row r="42" spans="1:14" x14ac:dyDescent="0.25">
      <c r="A42" s="2">
        <v>30</v>
      </c>
      <c r="B42" s="17"/>
      <c r="C42" s="2">
        <v>3</v>
      </c>
      <c r="D42" s="17" t="s">
        <v>281</v>
      </c>
      <c r="E42" s="17" t="s">
        <v>247</v>
      </c>
      <c r="F42" s="17" t="s">
        <v>248</v>
      </c>
      <c r="G42" s="17" t="s">
        <v>249</v>
      </c>
      <c r="H42" s="17" t="s">
        <v>250</v>
      </c>
      <c r="I42" s="17"/>
      <c r="J42" s="17"/>
      <c r="K42"/>
      <c r="L42"/>
      <c r="M42"/>
      <c r="N42"/>
    </row>
    <row r="43" spans="1:14" x14ac:dyDescent="0.25">
      <c r="A43" s="2">
        <v>31</v>
      </c>
      <c r="B43" s="17"/>
      <c r="C43" s="2">
        <v>1</v>
      </c>
      <c r="D43" s="17" t="s">
        <v>251</v>
      </c>
      <c r="E43" s="17" t="s">
        <v>319</v>
      </c>
      <c r="F43" s="17" t="s">
        <v>320</v>
      </c>
      <c r="G43" s="17" t="s">
        <v>40</v>
      </c>
      <c r="H43" s="17" t="s">
        <v>321</v>
      </c>
      <c r="I43" s="17"/>
      <c r="J43" s="17"/>
      <c r="K43"/>
      <c r="L43"/>
      <c r="M43"/>
      <c r="N43"/>
    </row>
    <row r="44" spans="1:14" x14ac:dyDescent="0.25">
      <c r="A44" s="2">
        <v>32</v>
      </c>
      <c r="B44" s="17"/>
      <c r="C44" s="2">
        <v>1</v>
      </c>
      <c r="D44" s="17" t="s">
        <v>322</v>
      </c>
      <c r="E44" s="17" t="s">
        <v>282</v>
      </c>
      <c r="F44" s="17" t="s">
        <v>283</v>
      </c>
      <c r="G44" s="17" t="s">
        <v>284</v>
      </c>
      <c r="H44" s="17" t="s">
        <v>282</v>
      </c>
      <c r="I44" s="17"/>
      <c r="J44" s="17"/>
      <c r="K44"/>
      <c r="L44"/>
      <c r="M44"/>
      <c r="N44"/>
    </row>
    <row r="45" spans="1:14" x14ac:dyDescent="0.25">
      <c r="A45" s="2">
        <v>33</v>
      </c>
      <c r="B45" s="17" t="s">
        <v>72</v>
      </c>
      <c r="C45" s="2">
        <v>1</v>
      </c>
      <c r="D45" s="17" t="s">
        <v>323</v>
      </c>
      <c r="E45" s="17" t="s">
        <v>73</v>
      </c>
      <c r="F45" s="17" t="s">
        <v>101</v>
      </c>
      <c r="G45" s="17" t="s">
        <v>102</v>
      </c>
      <c r="H45" s="17" t="s">
        <v>73</v>
      </c>
      <c r="I45" s="17"/>
      <c r="J45" s="17"/>
      <c r="K45"/>
      <c r="L45"/>
      <c r="M45"/>
      <c r="N45"/>
    </row>
    <row r="46" spans="1:14" x14ac:dyDescent="0.25">
      <c r="A46" s="2">
        <v>34</v>
      </c>
      <c r="B46" s="17" t="s">
        <v>74</v>
      </c>
      <c r="C46" s="2">
        <v>1</v>
      </c>
      <c r="D46" s="17" t="s">
        <v>75</v>
      </c>
      <c r="E46" s="17" t="s">
        <v>74</v>
      </c>
      <c r="F46" s="17" t="s">
        <v>104</v>
      </c>
      <c r="G46" s="17" t="s">
        <v>76</v>
      </c>
      <c r="H46" s="17" t="s">
        <v>74</v>
      </c>
      <c r="I46" s="17"/>
      <c r="J46" s="17"/>
      <c r="K46"/>
      <c r="L46"/>
      <c r="M46"/>
      <c r="N46"/>
    </row>
    <row r="47" spans="1:14" x14ac:dyDescent="0.25">
      <c r="A47" s="2">
        <v>35</v>
      </c>
      <c r="B47" s="17" t="s">
        <v>77</v>
      </c>
      <c r="C47" s="2">
        <v>1</v>
      </c>
      <c r="D47" s="17" t="s">
        <v>256</v>
      </c>
      <c r="E47" s="17" t="s">
        <v>105</v>
      </c>
      <c r="F47" s="17" t="s">
        <v>106</v>
      </c>
      <c r="G47" s="17" t="s">
        <v>78</v>
      </c>
      <c r="H47" s="17" t="s">
        <v>105</v>
      </c>
      <c r="I47" s="17"/>
      <c r="J47" s="17"/>
      <c r="K47"/>
      <c r="L47"/>
      <c r="M47"/>
      <c r="N47"/>
    </row>
    <row r="48" spans="1:14" x14ac:dyDescent="0.25">
      <c r="A48" s="2">
        <v>36</v>
      </c>
      <c r="B48" s="17"/>
      <c r="C48" s="2">
        <v>1</v>
      </c>
      <c r="D48" s="17" t="s">
        <v>257</v>
      </c>
      <c r="E48" s="17" t="s">
        <v>159</v>
      </c>
      <c r="F48" s="17" t="s">
        <v>171</v>
      </c>
      <c r="G48" s="17" t="s">
        <v>134</v>
      </c>
      <c r="H48" s="17" t="s">
        <v>159</v>
      </c>
      <c r="I48" s="17"/>
      <c r="J48" s="17"/>
      <c r="K48"/>
      <c r="L48"/>
      <c r="M48"/>
      <c r="N48"/>
    </row>
    <row r="49" spans="1:14" x14ac:dyDescent="0.25">
      <c r="A49" s="2">
        <v>37</v>
      </c>
      <c r="B49" s="17" t="s">
        <v>90</v>
      </c>
      <c r="C49" s="2">
        <v>1</v>
      </c>
      <c r="D49" s="17" t="s">
        <v>128</v>
      </c>
      <c r="E49" s="17" t="s">
        <v>79</v>
      </c>
      <c r="F49" s="17" t="s">
        <v>124</v>
      </c>
      <c r="G49" s="17" t="s">
        <v>80</v>
      </c>
      <c r="H49" s="17" t="s">
        <v>81</v>
      </c>
      <c r="I49" s="17"/>
      <c r="J49" s="17"/>
      <c r="K49"/>
      <c r="L49"/>
      <c r="M49"/>
      <c r="N49"/>
    </row>
    <row r="50" spans="1:14" x14ac:dyDescent="0.25">
      <c r="A50" s="2">
        <v>38</v>
      </c>
      <c r="B50" s="17"/>
      <c r="C50" s="2">
        <v>1</v>
      </c>
      <c r="D50" s="17" t="s">
        <v>157</v>
      </c>
      <c r="E50" s="17" t="s">
        <v>158</v>
      </c>
      <c r="F50" s="17" t="s">
        <v>170</v>
      </c>
      <c r="G50" s="17" t="s">
        <v>82</v>
      </c>
      <c r="H50" s="17" t="s">
        <v>158</v>
      </c>
      <c r="I50" s="17"/>
      <c r="J50" s="17"/>
      <c r="K50"/>
      <c r="L50"/>
      <c r="M50"/>
      <c r="N50"/>
    </row>
    <row r="51" spans="1:14" x14ac:dyDescent="0.25">
      <c r="A51" s="2">
        <v>39</v>
      </c>
      <c r="B51" s="17" t="s">
        <v>286</v>
      </c>
      <c r="C51" s="2">
        <v>1</v>
      </c>
      <c r="D51" s="17" t="s">
        <v>324</v>
      </c>
      <c r="E51" s="17" t="s">
        <v>287</v>
      </c>
      <c r="F51" s="17" t="s">
        <v>288</v>
      </c>
      <c r="G51" s="17" t="s">
        <v>289</v>
      </c>
      <c r="H51" s="17" t="s">
        <v>287</v>
      </c>
      <c r="I51" s="17"/>
      <c r="J51" s="17"/>
      <c r="K51"/>
      <c r="L51"/>
      <c r="M51"/>
      <c r="N51"/>
    </row>
    <row r="52" spans="1:14" x14ac:dyDescent="0.25">
      <c r="A52" s="2">
        <v>40</v>
      </c>
      <c r="B52" s="17" t="s">
        <v>120</v>
      </c>
      <c r="C52" s="2">
        <v>1</v>
      </c>
      <c r="D52" s="17" t="s">
        <v>258</v>
      </c>
      <c r="E52" s="17" t="s">
        <v>180</v>
      </c>
      <c r="F52" s="17" t="s">
        <v>182</v>
      </c>
      <c r="G52" s="17" t="s">
        <v>76</v>
      </c>
      <c r="H52" s="17" t="s">
        <v>120</v>
      </c>
      <c r="I52" s="17"/>
      <c r="J52" s="17"/>
      <c r="K52"/>
      <c r="L52"/>
      <c r="M52"/>
      <c r="N52"/>
    </row>
    <row r="53" spans="1:14" x14ac:dyDescent="0.25">
      <c r="A53" s="2">
        <v>41</v>
      </c>
      <c r="B53" s="17"/>
      <c r="C53" s="2">
        <v>1</v>
      </c>
      <c r="D53" s="17" t="s">
        <v>259</v>
      </c>
      <c r="E53" s="17" t="s">
        <v>260</v>
      </c>
      <c r="F53" s="17" t="s">
        <v>261</v>
      </c>
      <c r="G53" s="17" t="s">
        <v>262</v>
      </c>
      <c r="H53" s="17" t="s">
        <v>260</v>
      </c>
      <c r="I53" s="17"/>
      <c r="J53" s="17"/>
      <c r="K53"/>
      <c r="L53"/>
      <c r="M53"/>
      <c r="N53"/>
    </row>
    <row r="54" spans="1:14" x14ac:dyDescent="0.25">
      <c r="A54" s="13"/>
      <c r="B54" s="16"/>
      <c r="C54" s="13"/>
      <c r="D54" s="16"/>
      <c r="E54" s="16"/>
      <c r="F54" s="16"/>
      <c r="G54" s="16"/>
      <c r="H54" s="16"/>
      <c r="I54" s="16"/>
      <c r="J54" s="16"/>
      <c r="K54"/>
      <c r="L54"/>
      <c r="M54"/>
      <c r="N54"/>
    </row>
    <row r="55" spans="1:14" ht="19.05" x14ac:dyDescent="0.35">
      <c r="A55" s="29" t="s">
        <v>23</v>
      </c>
      <c r="B55" s="29"/>
      <c r="C55" s="29"/>
      <c r="D55" s="29"/>
      <c r="E55" s="29"/>
      <c r="F55" s="29"/>
      <c r="G55" s="29"/>
      <c r="H55" s="29"/>
      <c r="I55" s="29"/>
      <c r="J55" s="29"/>
      <c r="K55"/>
      <c r="L55"/>
      <c r="M55"/>
      <c r="N55"/>
    </row>
    <row r="56" spans="1:14" x14ac:dyDescent="0.25">
      <c r="A56" s="2">
        <v>42</v>
      </c>
      <c r="B56" s="17" t="s">
        <v>29</v>
      </c>
      <c r="C56" s="2">
        <v>1</v>
      </c>
      <c r="D56" s="17" t="s">
        <v>113</v>
      </c>
      <c r="E56" s="17" t="s">
        <v>114</v>
      </c>
      <c r="F56" s="17" t="s">
        <v>115</v>
      </c>
      <c r="G56" s="17" t="s">
        <v>29</v>
      </c>
      <c r="H56" s="17" t="s">
        <v>29</v>
      </c>
      <c r="I56" s="17"/>
      <c r="J56" s="17"/>
      <c r="K56"/>
      <c r="L56"/>
      <c r="M56"/>
      <c r="N56"/>
    </row>
    <row r="57" spans="1:14" x14ac:dyDescent="0.25">
      <c r="A57" s="2">
        <v>43</v>
      </c>
      <c r="B57" s="17" t="s">
        <v>297</v>
      </c>
      <c r="C57" s="2">
        <v>2</v>
      </c>
      <c r="D57" s="17" t="s">
        <v>116</v>
      </c>
      <c r="E57" s="17" t="s">
        <v>298</v>
      </c>
      <c r="F57" s="17" t="s">
        <v>299</v>
      </c>
      <c r="G57" s="17" t="s">
        <v>307</v>
      </c>
      <c r="H57" s="17" t="s">
        <v>307</v>
      </c>
      <c r="I57" s="17"/>
      <c r="J57" s="17"/>
      <c r="K57"/>
      <c r="L57"/>
      <c r="M57"/>
      <c r="N57"/>
    </row>
    <row r="58" spans="1:14" x14ac:dyDescent="0.25">
      <c r="A58" s="2">
        <v>44</v>
      </c>
      <c r="B58" s="17"/>
      <c r="C58" s="2">
        <v>1</v>
      </c>
      <c r="D58" s="17" t="s">
        <v>117</v>
      </c>
      <c r="E58" s="17" t="s">
        <v>300</v>
      </c>
      <c r="F58" s="17" t="s">
        <v>308</v>
      </c>
      <c r="G58" s="17" t="s">
        <v>307</v>
      </c>
      <c r="H58" s="17" t="s">
        <v>307</v>
      </c>
      <c r="I58" s="17"/>
      <c r="J58" s="17"/>
      <c r="K58"/>
      <c r="L58"/>
      <c r="M58"/>
      <c r="N58"/>
    </row>
    <row r="59" spans="1:14" x14ac:dyDescent="0.25">
      <c r="A59" s="2">
        <v>45</v>
      </c>
      <c r="B59" s="17" t="s">
        <v>34</v>
      </c>
      <c r="C59" s="2">
        <v>1</v>
      </c>
      <c r="D59" s="17" t="s">
        <v>144</v>
      </c>
      <c r="E59" s="17" t="s">
        <v>35</v>
      </c>
      <c r="F59" s="17" t="s">
        <v>94</v>
      </c>
      <c r="G59" s="17" t="s">
        <v>36</v>
      </c>
      <c r="H59" s="17" t="s">
        <v>37</v>
      </c>
      <c r="I59" s="17"/>
      <c r="J59" s="17"/>
      <c r="K59"/>
      <c r="L59"/>
      <c r="M59"/>
      <c r="N59"/>
    </row>
    <row r="60" spans="1:14" x14ac:dyDescent="0.25">
      <c r="A60" s="2">
        <v>46</v>
      </c>
      <c r="B60" s="17" t="s">
        <v>38</v>
      </c>
      <c r="C60" s="2">
        <v>1</v>
      </c>
      <c r="D60" s="17" t="s">
        <v>301</v>
      </c>
      <c r="E60" s="17" t="s">
        <v>43</v>
      </c>
      <c r="F60" s="17" t="s">
        <v>92</v>
      </c>
      <c r="G60" s="17" t="s">
        <v>93</v>
      </c>
      <c r="H60" s="17" t="s">
        <v>88</v>
      </c>
      <c r="I60" s="17"/>
      <c r="J60" s="17"/>
      <c r="K60"/>
      <c r="L60"/>
      <c r="M60"/>
      <c r="N60"/>
    </row>
    <row r="61" spans="1:14" x14ac:dyDescent="0.25">
      <c r="A61" s="2">
        <v>47</v>
      </c>
      <c r="B61" s="17"/>
      <c r="C61" s="2">
        <v>1</v>
      </c>
      <c r="D61" s="17" t="s">
        <v>204</v>
      </c>
      <c r="E61" s="17" t="s">
        <v>205</v>
      </c>
      <c r="F61" s="17" t="s">
        <v>206</v>
      </c>
      <c r="G61" s="17" t="s">
        <v>207</v>
      </c>
      <c r="H61" s="17">
        <v>61300211121</v>
      </c>
      <c r="I61" s="17"/>
      <c r="J61" s="17"/>
      <c r="K61"/>
      <c r="L61"/>
      <c r="M61"/>
      <c r="N61"/>
    </row>
    <row r="62" spans="1:14" x14ac:dyDescent="0.25">
      <c r="A62" s="2">
        <v>48</v>
      </c>
      <c r="B62" s="17"/>
      <c r="C62" s="2">
        <v>1</v>
      </c>
      <c r="D62" s="17" t="s">
        <v>179</v>
      </c>
      <c r="E62" s="17" t="s">
        <v>214</v>
      </c>
      <c r="F62" s="17" t="s">
        <v>215</v>
      </c>
      <c r="G62" s="17" t="s">
        <v>129</v>
      </c>
      <c r="H62" s="17" t="s">
        <v>216</v>
      </c>
      <c r="I62" s="17"/>
      <c r="J62" s="17"/>
      <c r="K62"/>
      <c r="L62"/>
      <c r="M62"/>
      <c r="N62"/>
    </row>
    <row r="63" spans="1:14" x14ac:dyDescent="0.25">
      <c r="A63" s="2">
        <v>49</v>
      </c>
      <c r="B63" s="17"/>
      <c r="C63" s="2">
        <v>1</v>
      </c>
      <c r="D63" s="17" t="s">
        <v>235</v>
      </c>
      <c r="E63" s="17" t="s">
        <v>60</v>
      </c>
      <c r="F63" s="17" t="s">
        <v>139</v>
      </c>
      <c r="G63" s="17" t="s">
        <v>111</v>
      </c>
      <c r="H63" s="17" t="s">
        <v>140</v>
      </c>
      <c r="I63" s="17"/>
      <c r="J63" s="17"/>
      <c r="K63"/>
      <c r="L63"/>
      <c r="M63"/>
      <c r="N63"/>
    </row>
    <row r="64" spans="1:14" x14ac:dyDescent="0.25">
      <c r="A64" s="2">
        <v>50</v>
      </c>
      <c r="B64" s="17" t="s">
        <v>62</v>
      </c>
      <c r="C64" s="2">
        <v>2</v>
      </c>
      <c r="D64" s="17" t="s">
        <v>302</v>
      </c>
      <c r="E64" s="17" t="s">
        <v>63</v>
      </c>
      <c r="F64" s="17" t="s">
        <v>100</v>
      </c>
      <c r="G64" s="17" t="s">
        <v>64</v>
      </c>
      <c r="H64" s="17" t="s">
        <v>65</v>
      </c>
      <c r="I64" s="17"/>
      <c r="J64" s="17"/>
      <c r="K64"/>
      <c r="L64"/>
      <c r="M64"/>
      <c r="N64"/>
    </row>
    <row r="65" spans="1:14" x14ac:dyDescent="0.25">
      <c r="A65" s="2">
        <v>51</v>
      </c>
      <c r="B65" s="17" t="s">
        <v>165</v>
      </c>
      <c r="C65" s="2">
        <v>7</v>
      </c>
      <c r="D65" s="17" t="s">
        <v>280</v>
      </c>
      <c r="E65" s="17" t="s">
        <v>67</v>
      </c>
      <c r="F65" s="17" t="s">
        <v>166</v>
      </c>
      <c r="G65" s="17" t="s">
        <v>68</v>
      </c>
      <c r="H65" s="17" t="s">
        <v>69</v>
      </c>
      <c r="I65" s="17"/>
      <c r="J65" s="17"/>
      <c r="K65"/>
      <c r="L65"/>
      <c r="M65"/>
      <c r="N65"/>
    </row>
    <row r="66" spans="1:14" x14ac:dyDescent="0.25">
      <c r="A66" s="2">
        <v>52</v>
      </c>
      <c r="B66" s="17"/>
      <c r="C66" s="2">
        <v>7</v>
      </c>
      <c r="D66" s="17" t="s">
        <v>285</v>
      </c>
      <c r="E66" s="17" t="s">
        <v>83</v>
      </c>
      <c r="F66" s="17" t="s">
        <v>103</v>
      </c>
      <c r="G66" s="17" t="s">
        <v>29</v>
      </c>
      <c r="H66" s="17" t="s">
        <v>29</v>
      </c>
      <c r="I66" s="17"/>
      <c r="J66" s="17"/>
      <c r="K66"/>
      <c r="L66"/>
      <c r="M66"/>
      <c r="N66"/>
    </row>
    <row r="67" spans="1:14" x14ac:dyDescent="0.25">
      <c r="A67" s="13"/>
      <c r="B67" s="16"/>
      <c r="C67" s="13"/>
      <c r="D67" s="16"/>
      <c r="E67" s="16"/>
      <c r="F67" s="16"/>
      <c r="G67" s="16"/>
      <c r="H67" s="16"/>
      <c r="I67" s="16"/>
      <c r="J67" s="16"/>
      <c r="K67"/>
      <c r="L67"/>
      <c r="M67"/>
      <c r="N67"/>
    </row>
    <row r="68" spans="1:14" ht="19.05" x14ac:dyDescent="0.35">
      <c r="A68" s="29" t="s">
        <v>24</v>
      </c>
      <c r="B68" s="29"/>
      <c r="C68" s="29"/>
      <c r="D68" s="29"/>
      <c r="E68" s="29"/>
      <c r="F68" s="29"/>
      <c r="G68" s="29"/>
      <c r="H68" s="29"/>
      <c r="I68" s="29"/>
      <c r="J68" s="29"/>
      <c r="K68"/>
      <c r="L68"/>
      <c r="M68"/>
      <c r="N68"/>
    </row>
    <row r="69" spans="1:14" x14ac:dyDescent="0.25">
      <c r="A69" s="2">
        <v>53</v>
      </c>
      <c r="B69" s="17" t="s">
        <v>191</v>
      </c>
      <c r="C69" s="2">
        <v>1</v>
      </c>
      <c r="D69" s="17" t="s">
        <v>27</v>
      </c>
      <c r="E69" s="17" t="s">
        <v>191</v>
      </c>
      <c r="F69" s="17" t="s">
        <v>309</v>
      </c>
      <c r="G69" s="17" t="s">
        <v>28</v>
      </c>
      <c r="H69" s="17" t="s">
        <v>29</v>
      </c>
      <c r="I69" s="17"/>
      <c r="J69" s="17"/>
      <c r="K69"/>
      <c r="L69"/>
      <c r="M69"/>
      <c r="N69"/>
    </row>
    <row r="70" spans="1:14" x14ac:dyDescent="0.25">
      <c r="A70" s="2">
        <v>54</v>
      </c>
      <c r="B70" s="17" t="s">
        <v>192</v>
      </c>
      <c r="C70" s="2">
        <v>1</v>
      </c>
      <c r="D70" s="17" t="s">
        <v>30</v>
      </c>
      <c r="E70" s="17" t="s">
        <v>192</v>
      </c>
      <c r="F70" s="17" t="s">
        <v>310</v>
      </c>
      <c r="G70" s="17" t="s">
        <v>28</v>
      </c>
      <c r="H70" s="17" t="s">
        <v>29</v>
      </c>
      <c r="I70" s="17"/>
      <c r="J70" s="17"/>
      <c r="K70"/>
      <c r="L70"/>
      <c r="M70"/>
      <c r="N70"/>
    </row>
    <row r="71" spans="1:14" ht="28.55" x14ac:dyDescent="0.25">
      <c r="A71" s="2">
        <v>55</v>
      </c>
      <c r="B71" s="17" t="s">
        <v>193</v>
      </c>
      <c r="C71" s="2">
        <v>1</v>
      </c>
      <c r="D71" s="17" t="s">
        <v>31</v>
      </c>
      <c r="E71" s="17" t="s">
        <v>193</v>
      </c>
      <c r="F71" s="17" t="s">
        <v>311</v>
      </c>
      <c r="G71" s="17" t="s">
        <v>29</v>
      </c>
      <c r="H71" s="17" t="s">
        <v>29</v>
      </c>
      <c r="I71" s="17"/>
      <c r="J71" s="17"/>
      <c r="K71"/>
      <c r="L71"/>
      <c r="M71"/>
      <c r="N71"/>
    </row>
    <row r="72" spans="1:14" ht="28.55" x14ac:dyDescent="0.25">
      <c r="A72" s="2">
        <v>56</v>
      </c>
      <c r="B72" s="17" t="s">
        <v>194</v>
      </c>
      <c r="C72" s="2">
        <v>1</v>
      </c>
      <c r="D72" s="17" t="s">
        <v>32</v>
      </c>
      <c r="E72" s="17" t="s">
        <v>194</v>
      </c>
      <c r="F72" s="17" t="s">
        <v>312</v>
      </c>
      <c r="G72" s="17" t="s">
        <v>29</v>
      </c>
      <c r="H72" s="17" t="s">
        <v>29</v>
      </c>
      <c r="I72" s="17"/>
      <c r="J72" s="17"/>
      <c r="K72"/>
      <c r="L72"/>
      <c r="M72"/>
      <c r="N72"/>
    </row>
    <row r="73" spans="1:14" ht="28.55" x14ac:dyDescent="0.25">
      <c r="A73" s="2">
        <v>57</v>
      </c>
      <c r="B73" s="17" t="s">
        <v>188</v>
      </c>
      <c r="C73" s="2">
        <v>1</v>
      </c>
      <c r="D73" s="17" t="s">
        <v>33</v>
      </c>
      <c r="E73" s="17" t="s">
        <v>188</v>
      </c>
      <c r="F73" s="17" t="s">
        <v>313</v>
      </c>
      <c r="G73" s="17" t="s">
        <v>29</v>
      </c>
      <c r="H73" s="17" t="s">
        <v>29</v>
      </c>
      <c r="I73" s="17"/>
      <c r="J73" s="17"/>
      <c r="K73"/>
      <c r="L73"/>
      <c r="M73"/>
      <c r="N73"/>
    </row>
    <row r="74" spans="1:14" ht="28.55" x14ac:dyDescent="0.25">
      <c r="A74" s="2">
        <v>58</v>
      </c>
      <c r="B74" s="17" t="s">
        <v>121</v>
      </c>
      <c r="C74" s="2">
        <v>1</v>
      </c>
      <c r="D74" s="17" t="s">
        <v>86</v>
      </c>
      <c r="E74" s="17" t="s">
        <v>122</v>
      </c>
      <c r="F74" s="17" t="s">
        <v>123</v>
      </c>
      <c r="G74" s="17" t="s">
        <v>48</v>
      </c>
      <c r="H74" s="17" t="s">
        <v>122</v>
      </c>
      <c r="I74" s="17"/>
      <c r="J74" s="17"/>
      <c r="K74"/>
      <c r="L74"/>
      <c r="M74"/>
      <c r="N74"/>
    </row>
    <row r="75" spans="1:14" x14ac:dyDescent="0.25">
      <c r="A75" s="2">
        <v>59</v>
      </c>
      <c r="B75" s="17"/>
      <c r="C75" s="2">
        <v>1</v>
      </c>
      <c r="D75" s="17" t="s">
        <v>195</v>
      </c>
      <c r="E75" s="17" t="s">
        <v>126</v>
      </c>
      <c r="F75" s="17" t="s">
        <v>271</v>
      </c>
      <c r="G75" s="17" t="s">
        <v>28</v>
      </c>
      <c r="H75" s="17" t="s">
        <v>29</v>
      </c>
      <c r="I75" s="17"/>
      <c r="J75" s="17"/>
      <c r="K75"/>
      <c r="L75"/>
      <c r="M75"/>
      <c r="N75"/>
    </row>
    <row r="76" spans="1:14" x14ac:dyDescent="0.25">
      <c r="A76" s="2">
        <v>60</v>
      </c>
      <c r="B76" s="17" t="s">
        <v>272</v>
      </c>
      <c r="C76" s="2">
        <v>1</v>
      </c>
      <c r="D76" s="17" t="s">
        <v>273</v>
      </c>
      <c r="E76" s="17" t="s">
        <v>274</v>
      </c>
      <c r="F76" s="17" t="s">
        <v>275</v>
      </c>
      <c r="G76" s="17"/>
      <c r="H76" s="17"/>
      <c r="I76" s="17"/>
      <c r="J76" s="17"/>
      <c r="K76"/>
      <c r="L76"/>
      <c r="M76"/>
      <c r="N76"/>
    </row>
    <row r="77" spans="1:14" ht="28.55" x14ac:dyDescent="0.25">
      <c r="A77" s="2">
        <v>61</v>
      </c>
      <c r="B77" s="17" t="s">
        <v>291</v>
      </c>
      <c r="C77" s="2">
        <v>1</v>
      </c>
      <c r="D77" s="17" t="s">
        <v>292</v>
      </c>
      <c r="E77" s="17" t="s">
        <v>293</v>
      </c>
      <c r="F77" s="17" t="s">
        <v>294</v>
      </c>
      <c r="G77" s="17" t="s">
        <v>295</v>
      </c>
      <c r="H77" s="17" t="s">
        <v>296</v>
      </c>
      <c r="I77" s="17"/>
      <c r="J77" s="17"/>
      <c r="K77"/>
      <c r="L77"/>
      <c r="M77"/>
      <c r="N77"/>
    </row>
    <row r="78" spans="1:14" x14ac:dyDescent="0.25">
      <c r="A78" s="13"/>
      <c r="B78" s="16"/>
      <c r="C78" s="13"/>
      <c r="D78" s="16"/>
      <c r="E78" s="16"/>
      <c r="F78" s="16"/>
      <c r="G78" s="16"/>
      <c r="H78" s="16"/>
      <c r="I78" s="16"/>
      <c r="J78" s="16"/>
      <c r="K78"/>
      <c r="L78"/>
      <c r="M78"/>
      <c r="N78"/>
    </row>
    <row r="79" spans="1:14" x14ac:dyDescent="0.25">
      <c r="A79" s="13"/>
      <c r="B79" s="16"/>
      <c r="C79" s="13"/>
      <c r="D79" s="16"/>
      <c r="E79" s="16"/>
      <c r="F79" s="16"/>
      <c r="G79" s="16"/>
      <c r="H79" s="16"/>
      <c r="I79" s="16"/>
      <c r="J79" s="16"/>
      <c r="K79"/>
      <c r="L79"/>
      <c r="M79"/>
      <c r="N79"/>
    </row>
    <row r="80" spans="1:14" x14ac:dyDescent="0.25">
      <c r="A80" s="13"/>
      <c r="B80" s="16"/>
      <c r="C80" s="13"/>
      <c r="D80" s="16"/>
      <c r="E80" s="16"/>
      <c r="F80" s="16"/>
      <c r="G80" s="16"/>
      <c r="H80" s="16"/>
      <c r="I80" s="16"/>
      <c r="J80" s="16"/>
      <c r="K80"/>
      <c r="L80"/>
      <c r="M80"/>
      <c r="N80"/>
    </row>
    <row r="81" spans="1:14" x14ac:dyDescent="0.25">
      <c r="A81" s="13"/>
      <c r="B81" s="16"/>
      <c r="C81" s="13"/>
      <c r="D81" s="16"/>
      <c r="E81" s="16"/>
      <c r="F81" s="16"/>
      <c r="G81" s="16"/>
      <c r="H81" s="16"/>
      <c r="I81" s="16"/>
      <c r="J81" s="16"/>
      <c r="K81"/>
      <c r="L81"/>
      <c r="M81"/>
      <c r="N81"/>
    </row>
    <row r="82" spans="1:14" x14ac:dyDescent="0.25">
      <c r="A82" s="13"/>
      <c r="B82" s="16"/>
      <c r="C82" s="13"/>
      <c r="D82" s="16"/>
      <c r="E82" s="16"/>
      <c r="F82" s="16"/>
      <c r="G82" s="16"/>
      <c r="H82" s="16"/>
      <c r="I82" s="16"/>
      <c r="J82" s="16"/>
      <c r="K82"/>
      <c r="L82"/>
      <c r="M82"/>
      <c r="N82"/>
    </row>
    <row r="83" spans="1:14" x14ac:dyDescent="0.25">
      <c r="A83" s="13"/>
      <c r="B83" s="16"/>
      <c r="C83" s="13"/>
      <c r="D83" s="16"/>
      <c r="E83" s="16"/>
      <c r="F83" s="16"/>
      <c r="G83" s="16"/>
      <c r="H83" s="16"/>
      <c r="I83" s="16"/>
      <c r="J83" s="16"/>
      <c r="K83"/>
      <c r="L83"/>
      <c r="M83"/>
      <c r="N83"/>
    </row>
    <row r="84" spans="1:14" x14ac:dyDescent="0.25">
      <c r="A84" s="13"/>
      <c r="B84" s="16"/>
      <c r="C84" s="13"/>
      <c r="D84" s="16"/>
      <c r="E84" s="16"/>
      <c r="F84" s="16"/>
      <c r="G84" s="16"/>
      <c r="H84" s="16"/>
      <c r="I84" s="16"/>
      <c r="J84" s="16"/>
      <c r="K84"/>
      <c r="L84"/>
      <c r="M84"/>
      <c r="N84"/>
    </row>
    <row r="85" spans="1:14" x14ac:dyDescent="0.25">
      <c r="A85" s="13"/>
      <c r="B85" s="16"/>
      <c r="C85" s="13"/>
      <c r="D85" s="16"/>
      <c r="E85" s="16"/>
      <c r="F85" s="16"/>
      <c r="G85" s="16"/>
      <c r="H85" s="16"/>
      <c r="I85" s="16"/>
      <c r="J85" s="16"/>
      <c r="K85"/>
      <c r="L85"/>
      <c r="M85"/>
      <c r="N85"/>
    </row>
    <row r="86" spans="1:14" x14ac:dyDescent="0.25">
      <c r="A86" s="13"/>
      <c r="B86" s="16"/>
      <c r="C86" s="13"/>
      <c r="D86" s="16"/>
      <c r="E86" s="16"/>
      <c r="F86" s="16"/>
      <c r="G86" s="16"/>
      <c r="H86" s="16"/>
      <c r="I86" s="16"/>
      <c r="J86" s="16"/>
      <c r="K86"/>
      <c r="L86"/>
      <c r="M86"/>
      <c r="N86"/>
    </row>
    <row r="87" spans="1:14" x14ac:dyDescent="0.25">
      <c r="A87" s="13"/>
      <c r="B87" s="16"/>
      <c r="C87" s="13"/>
      <c r="D87" s="16"/>
      <c r="E87" s="16"/>
      <c r="F87" s="16"/>
      <c r="G87" s="16"/>
      <c r="H87" s="16"/>
      <c r="I87" s="16"/>
      <c r="J87" s="16"/>
      <c r="K87"/>
      <c r="L87"/>
      <c r="M87"/>
      <c r="N87"/>
    </row>
    <row r="88" spans="1:14" x14ac:dyDescent="0.25">
      <c r="A88" s="13"/>
      <c r="B88" s="16"/>
      <c r="C88" s="13"/>
      <c r="D88" s="16"/>
      <c r="E88" s="16"/>
      <c r="F88" s="16"/>
      <c r="G88" s="16"/>
      <c r="H88" s="16"/>
      <c r="I88" s="16"/>
      <c r="J88" s="16"/>
      <c r="K88"/>
      <c r="L88"/>
      <c r="M88"/>
      <c r="N88"/>
    </row>
    <row r="89" spans="1:14" x14ac:dyDescent="0.25">
      <c r="A89" s="13"/>
      <c r="B89" s="16"/>
      <c r="C89" s="13"/>
      <c r="D89" s="16"/>
      <c r="E89" s="16"/>
      <c r="F89" s="16"/>
      <c r="G89" s="16"/>
      <c r="H89" s="16"/>
      <c r="I89" s="16"/>
      <c r="J89" s="16"/>
      <c r="K89"/>
      <c r="L89"/>
      <c r="M89"/>
      <c r="N89"/>
    </row>
    <row r="90" spans="1:14" x14ac:dyDescent="0.25">
      <c r="A90" s="13"/>
      <c r="B90" s="16"/>
      <c r="C90" s="13"/>
      <c r="D90" s="16"/>
      <c r="E90" s="16"/>
      <c r="F90" s="16"/>
      <c r="G90" s="16"/>
      <c r="H90" s="16"/>
      <c r="I90" s="16"/>
      <c r="J90" s="16"/>
      <c r="K90"/>
      <c r="L90"/>
      <c r="M90"/>
      <c r="N90"/>
    </row>
    <row r="91" spans="1:14" x14ac:dyDescent="0.25">
      <c r="A91" s="13"/>
      <c r="B91" s="16"/>
      <c r="C91" s="13"/>
      <c r="D91" s="16"/>
      <c r="E91" s="16"/>
      <c r="F91" s="16"/>
      <c r="G91" s="16"/>
      <c r="H91" s="16"/>
      <c r="I91" s="16"/>
      <c r="J91" s="16"/>
      <c r="K91"/>
      <c r="L91"/>
      <c r="M91"/>
      <c r="N91"/>
    </row>
    <row r="92" spans="1:14" x14ac:dyDescent="0.25">
      <c r="A92" s="13"/>
      <c r="B92" s="16"/>
      <c r="C92" s="13"/>
      <c r="D92" s="16"/>
      <c r="E92" s="16"/>
      <c r="F92" s="16"/>
      <c r="G92" s="16"/>
      <c r="H92" s="16"/>
      <c r="I92" s="16"/>
      <c r="J92" s="16"/>
      <c r="K92"/>
      <c r="L92"/>
      <c r="M92"/>
      <c r="N92"/>
    </row>
    <row r="93" spans="1:14" x14ac:dyDescent="0.25">
      <c r="A93" s="13"/>
      <c r="B93" s="16"/>
      <c r="C93" s="13"/>
      <c r="D93" s="16"/>
      <c r="E93" s="16"/>
      <c r="F93" s="16"/>
      <c r="G93" s="16"/>
      <c r="H93" s="16"/>
      <c r="I93" s="16"/>
      <c r="J93" s="16"/>
      <c r="K93"/>
      <c r="L93"/>
      <c r="M93"/>
      <c r="N93"/>
    </row>
    <row r="94" spans="1:14" x14ac:dyDescent="0.25">
      <c r="A94" s="13"/>
      <c r="B94" s="16"/>
      <c r="C94" s="13"/>
      <c r="D94" s="16"/>
      <c r="E94" s="16"/>
      <c r="F94" s="16"/>
      <c r="G94" s="16"/>
      <c r="H94" s="16"/>
      <c r="I94" s="16"/>
      <c r="J94" s="16"/>
      <c r="K94"/>
      <c r="L94"/>
      <c r="M94"/>
      <c r="N94"/>
    </row>
    <row r="95" spans="1:14" x14ac:dyDescent="0.25">
      <c r="A95" s="13"/>
      <c r="B95" s="16"/>
      <c r="C95" s="13"/>
      <c r="D95" s="16"/>
      <c r="E95" s="16"/>
      <c r="F95" s="16"/>
      <c r="G95" s="16"/>
      <c r="H95" s="16"/>
      <c r="I95" s="16"/>
      <c r="J95" s="16"/>
      <c r="K95"/>
      <c r="L95"/>
      <c r="M95"/>
      <c r="N95"/>
    </row>
    <row r="96" spans="1:14" x14ac:dyDescent="0.25">
      <c r="A96" s="13"/>
      <c r="B96" s="16"/>
      <c r="C96" s="13"/>
      <c r="D96" s="16"/>
      <c r="E96" s="16"/>
      <c r="F96" s="16"/>
      <c r="G96" s="16"/>
      <c r="H96" s="16"/>
      <c r="I96" s="16"/>
      <c r="J96" s="16"/>
      <c r="K96"/>
      <c r="L96"/>
      <c r="M96"/>
      <c r="N96"/>
    </row>
    <row r="97" spans="1:14" x14ac:dyDescent="0.25">
      <c r="A97" s="13"/>
      <c r="B97" s="16"/>
      <c r="C97" s="13"/>
      <c r="D97" s="16"/>
      <c r="E97" s="16"/>
      <c r="F97" s="16"/>
      <c r="G97" s="16"/>
      <c r="H97" s="16"/>
      <c r="I97" s="16"/>
      <c r="J97" s="16"/>
      <c r="K97"/>
      <c r="L97"/>
      <c r="M97"/>
      <c r="N97"/>
    </row>
    <row r="98" spans="1:14" x14ac:dyDescent="0.25">
      <c r="A98" s="13"/>
      <c r="B98" s="16"/>
      <c r="C98" s="13"/>
      <c r="D98" s="16"/>
      <c r="E98" s="16"/>
      <c r="F98" s="16"/>
      <c r="G98" s="16"/>
      <c r="H98" s="16"/>
      <c r="I98" s="16"/>
      <c r="J98" s="16"/>
      <c r="K98"/>
      <c r="L98"/>
      <c r="M98"/>
      <c r="N98"/>
    </row>
    <row r="99" spans="1:14" x14ac:dyDescent="0.25">
      <c r="A99" s="13"/>
      <c r="B99" s="16"/>
      <c r="C99" s="13"/>
      <c r="D99" s="16"/>
      <c r="E99" s="16"/>
      <c r="F99" s="16"/>
      <c r="G99" s="16"/>
      <c r="H99" s="16"/>
      <c r="I99" s="16"/>
      <c r="J99" s="16"/>
      <c r="K99"/>
      <c r="L99"/>
      <c r="M99"/>
      <c r="N99"/>
    </row>
    <row r="100" spans="1:14" x14ac:dyDescent="0.25">
      <c r="A100" s="13"/>
      <c r="B100" s="16"/>
      <c r="C100" s="13"/>
      <c r="D100" s="16"/>
      <c r="E100" s="16"/>
      <c r="F100" s="16"/>
      <c r="G100" s="16"/>
      <c r="H100" s="16"/>
      <c r="I100" s="16"/>
      <c r="J100" s="16"/>
      <c r="K100"/>
      <c r="L100"/>
      <c r="M100"/>
      <c r="N100"/>
    </row>
    <row r="101" spans="1:14" x14ac:dyDescent="0.25">
      <c r="A101" s="13"/>
      <c r="B101" s="16"/>
      <c r="C101" s="13"/>
      <c r="D101" s="16"/>
      <c r="E101" s="16"/>
      <c r="F101" s="16"/>
      <c r="G101" s="16"/>
      <c r="H101" s="16"/>
      <c r="I101" s="16"/>
      <c r="J101" s="16"/>
      <c r="K101"/>
      <c r="L101"/>
      <c r="M101"/>
      <c r="N101"/>
    </row>
    <row r="102" spans="1:14" x14ac:dyDescent="0.25">
      <c r="A102" s="13"/>
      <c r="B102" s="16"/>
      <c r="C102" s="13"/>
      <c r="D102" s="16"/>
      <c r="E102" s="16"/>
      <c r="F102" s="16"/>
      <c r="G102" s="16"/>
      <c r="H102" s="16"/>
      <c r="I102" s="16"/>
      <c r="J102" s="16"/>
      <c r="K102"/>
      <c r="L102"/>
      <c r="M102"/>
      <c r="N102"/>
    </row>
    <row r="103" spans="1:14" x14ac:dyDescent="0.25">
      <c r="A103" s="13"/>
      <c r="B103" s="16"/>
      <c r="C103" s="13"/>
      <c r="D103" s="16"/>
      <c r="E103" s="16"/>
      <c r="F103" s="16"/>
      <c r="G103" s="16"/>
      <c r="H103" s="16"/>
      <c r="I103" s="16"/>
      <c r="J103" s="16"/>
      <c r="K103"/>
      <c r="L103"/>
      <c r="M103"/>
      <c r="N103"/>
    </row>
    <row r="104" spans="1:14" x14ac:dyDescent="0.25">
      <c r="A104" s="13"/>
      <c r="B104" s="16"/>
      <c r="C104" s="13"/>
      <c r="D104" s="16"/>
      <c r="E104" s="16"/>
      <c r="F104" s="16"/>
      <c r="G104" s="16"/>
      <c r="H104" s="16"/>
      <c r="I104" s="16"/>
      <c r="J104" s="16"/>
      <c r="K104"/>
      <c r="L104"/>
      <c r="M104"/>
      <c r="N104"/>
    </row>
    <row r="105" spans="1:14" x14ac:dyDescent="0.25">
      <c r="A105" s="13"/>
      <c r="B105" s="16"/>
      <c r="C105" s="13"/>
      <c r="D105" s="16"/>
      <c r="E105" s="16"/>
      <c r="F105" s="16"/>
      <c r="G105" s="16"/>
      <c r="H105" s="16"/>
      <c r="I105" s="16"/>
      <c r="J105" s="16"/>
      <c r="K105"/>
      <c r="L105"/>
      <c r="M105"/>
      <c r="N105"/>
    </row>
    <row r="106" spans="1:14" x14ac:dyDescent="0.25">
      <c r="A106" s="13"/>
      <c r="B106" s="16"/>
      <c r="C106" s="13"/>
      <c r="D106" s="16"/>
      <c r="E106" s="16"/>
      <c r="F106" s="16"/>
      <c r="G106" s="16"/>
      <c r="H106" s="16"/>
      <c r="I106" s="16"/>
      <c r="J106" s="16"/>
      <c r="K106"/>
      <c r="L106"/>
      <c r="M106"/>
      <c r="N106"/>
    </row>
    <row r="107" spans="1:14" x14ac:dyDescent="0.25">
      <c r="A107" s="13"/>
      <c r="B107" s="16"/>
      <c r="C107" s="13"/>
      <c r="D107" s="16"/>
      <c r="E107" s="16"/>
      <c r="F107" s="16"/>
      <c r="G107" s="16"/>
      <c r="H107" s="16"/>
      <c r="I107" s="16"/>
      <c r="J107" s="16"/>
      <c r="K107"/>
      <c r="L107"/>
      <c r="M107"/>
      <c r="N107"/>
    </row>
    <row r="108" spans="1:14" x14ac:dyDescent="0.25">
      <c r="A108" s="13"/>
      <c r="B108" s="16"/>
      <c r="C108" s="13"/>
      <c r="D108" s="16"/>
      <c r="E108" s="16"/>
      <c r="F108" s="16"/>
      <c r="G108" s="16"/>
      <c r="H108" s="16"/>
      <c r="I108" s="16"/>
      <c r="J108" s="16"/>
      <c r="K108"/>
      <c r="L108"/>
      <c r="M108"/>
      <c r="N108"/>
    </row>
    <row r="109" spans="1:14" x14ac:dyDescent="0.25">
      <c r="A109" s="13"/>
      <c r="B109" s="16"/>
      <c r="C109" s="13"/>
      <c r="D109" s="16"/>
      <c r="E109" s="16"/>
      <c r="F109" s="16"/>
      <c r="G109" s="16"/>
      <c r="H109" s="16"/>
      <c r="I109" s="16"/>
      <c r="J109" s="16"/>
      <c r="K109"/>
      <c r="L109"/>
      <c r="M109"/>
      <c r="N109"/>
    </row>
    <row r="110" spans="1:14" x14ac:dyDescent="0.25">
      <c r="A110" s="13"/>
      <c r="B110" s="16"/>
      <c r="C110" s="13"/>
      <c r="D110" s="16"/>
      <c r="E110" s="16"/>
      <c r="F110" s="16"/>
      <c r="G110" s="16"/>
      <c r="H110" s="16"/>
      <c r="I110" s="16"/>
      <c r="J110" s="16"/>
      <c r="K110"/>
      <c r="L110"/>
      <c r="M110"/>
      <c r="N110"/>
    </row>
    <row r="111" spans="1:14" x14ac:dyDescent="0.25">
      <c r="A111" s="13"/>
      <c r="B111" s="16"/>
      <c r="C111" s="13"/>
      <c r="D111" s="16"/>
      <c r="E111" s="16"/>
      <c r="F111" s="16"/>
      <c r="G111" s="16"/>
      <c r="H111" s="16"/>
      <c r="I111" s="16"/>
      <c r="J111" s="16"/>
      <c r="K111"/>
      <c r="L111"/>
      <c r="M111"/>
      <c r="N111"/>
    </row>
    <row r="112" spans="1:14" x14ac:dyDescent="0.25">
      <c r="A112" s="13"/>
      <c r="B112" s="16"/>
      <c r="C112" s="13"/>
      <c r="D112" s="16"/>
      <c r="E112" s="16"/>
      <c r="F112" s="16"/>
      <c r="G112" s="16"/>
      <c r="H112" s="16"/>
      <c r="I112" s="16"/>
      <c r="J112" s="16"/>
      <c r="K112"/>
      <c r="L112"/>
      <c r="M112"/>
      <c r="N112"/>
    </row>
    <row r="113" spans="1:14" x14ac:dyDescent="0.25">
      <c r="A113" s="13"/>
      <c r="B113" s="16"/>
      <c r="C113" s="13"/>
      <c r="D113" s="16"/>
      <c r="E113" s="16"/>
      <c r="F113" s="16"/>
      <c r="G113" s="16"/>
      <c r="H113" s="16"/>
      <c r="I113" s="16"/>
      <c r="J113" s="16"/>
      <c r="K113"/>
      <c r="L113"/>
      <c r="M113"/>
      <c r="N113"/>
    </row>
    <row r="114" spans="1:14" x14ac:dyDescent="0.25">
      <c r="A114" s="13"/>
      <c r="B114" s="16"/>
      <c r="C114" s="13"/>
      <c r="D114" s="16"/>
      <c r="E114" s="16"/>
      <c r="F114" s="16"/>
      <c r="G114" s="16"/>
      <c r="H114" s="16"/>
      <c r="I114" s="16"/>
      <c r="J114" s="16"/>
      <c r="K114"/>
      <c r="L114"/>
      <c r="M114"/>
      <c r="N114"/>
    </row>
    <row r="115" spans="1:14" x14ac:dyDescent="0.25">
      <c r="A115" s="13"/>
      <c r="B115" s="16"/>
      <c r="C115" s="13"/>
      <c r="D115" s="16"/>
      <c r="E115" s="16"/>
      <c r="F115" s="16"/>
      <c r="G115" s="16"/>
      <c r="H115" s="16"/>
      <c r="I115" s="16"/>
      <c r="J115" s="16"/>
      <c r="K115"/>
      <c r="L115"/>
      <c r="M115"/>
      <c r="N115"/>
    </row>
    <row r="116" spans="1:14" x14ac:dyDescent="0.25">
      <c r="A116" s="13"/>
      <c r="B116" s="16"/>
      <c r="C116" s="13"/>
      <c r="D116" s="16"/>
      <c r="E116" s="16"/>
      <c r="F116" s="16"/>
      <c r="G116" s="16"/>
      <c r="H116" s="16"/>
      <c r="I116" s="16"/>
      <c r="J116" s="16"/>
      <c r="K116"/>
      <c r="L116"/>
      <c r="M116"/>
      <c r="N116"/>
    </row>
    <row r="117" spans="1:14" x14ac:dyDescent="0.25">
      <c r="A117" s="13"/>
      <c r="B117" s="16"/>
      <c r="C117" s="13"/>
      <c r="D117" s="16"/>
      <c r="E117" s="16"/>
      <c r="F117" s="16"/>
      <c r="G117" s="16"/>
      <c r="H117" s="16"/>
      <c r="I117" s="16"/>
      <c r="J117" s="16"/>
      <c r="K117"/>
      <c r="L117"/>
      <c r="M117"/>
      <c r="N117"/>
    </row>
    <row r="118" spans="1:14" x14ac:dyDescent="0.25">
      <c r="A118" s="13"/>
      <c r="B118" s="16"/>
      <c r="C118" s="13"/>
      <c r="D118" s="16"/>
      <c r="E118" s="16"/>
      <c r="F118" s="16"/>
      <c r="G118" s="16"/>
      <c r="H118" s="16"/>
      <c r="I118" s="16"/>
      <c r="J118" s="16"/>
      <c r="K118"/>
      <c r="L118"/>
      <c r="M118"/>
      <c r="N118"/>
    </row>
    <row r="119" spans="1:14" x14ac:dyDescent="0.25">
      <c r="A119" s="13"/>
      <c r="B119" s="16"/>
      <c r="C119" s="13"/>
      <c r="D119" s="16"/>
      <c r="E119" s="16"/>
      <c r="F119" s="16"/>
      <c r="G119" s="16"/>
      <c r="H119" s="16"/>
      <c r="I119" s="16"/>
      <c r="J119" s="16"/>
      <c r="K119"/>
      <c r="L119"/>
      <c r="M119"/>
      <c r="N119"/>
    </row>
    <row r="120" spans="1:14" x14ac:dyDescent="0.25">
      <c r="A120" s="13"/>
      <c r="B120" s="16"/>
      <c r="C120" s="13"/>
      <c r="D120" s="16"/>
      <c r="E120" s="16"/>
      <c r="F120" s="16"/>
      <c r="G120" s="16"/>
      <c r="H120" s="16"/>
      <c r="I120" s="16"/>
      <c r="J120" s="16"/>
      <c r="K120"/>
      <c r="L120"/>
      <c r="M120"/>
      <c r="N120"/>
    </row>
    <row r="121" spans="1:14" x14ac:dyDescent="0.25">
      <c r="A121" s="13"/>
      <c r="B121" s="16"/>
      <c r="C121" s="13"/>
      <c r="D121" s="16"/>
      <c r="E121" s="16"/>
      <c r="F121" s="16"/>
      <c r="G121" s="16"/>
      <c r="H121" s="16"/>
      <c r="I121" s="16"/>
      <c r="J121" s="16"/>
      <c r="K121"/>
      <c r="L121"/>
      <c r="M121"/>
      <c r="N121"/>
    </row>
    <row r="122" spans="1:14" x14ac:dyDescent="0.25">
      <c r="A122" s="13"/>
      <c r="B122" s="16"/>
      <c r="C122" s="13"/>
      <c r="D122" s="16"/>
      <c r="E122" s="16"/>
      <c r="F122" s="16"/>
      <c r="G122" s="16"/>
      <c r="H122" s="16"/>
      <c r="I122" s="16"/>
      <c r="J122" s="16"/>
      <c r="K122"/>
      <c r="L122"/>
      <c r="M122"/>
      <c r="N122"/>
    </row>
    <row r="123" spans="1:14" x14ac:dyDescent="0.25">
      <c r="A123" s="13"/>
      <c r="B123" s="16"/>
      <c r="C123" s="13"/>
      <c r="D123" s="16"/>
      <c r="E123" s="16"/>
      <c r="F123" s="16"/>
      <c r="G123" s="16"/>
      <c r="H123" s="16"/>
      <c r="I123" s="16"/>
      <c r="J123" s="16"/>
      <c r="K123"/>
      <c r="L123"/>
      <c r="M123"/>
      <c r="N123"/>
    </row>
    <row r="124" spans="1:14" x14ac:dyDescent="0.25">
      <c r="A124" s="13"/>
      <c r="B124" s="16"/>
      <c r="C124" s="13"/>
      <c r="D124" s="16"/>
      <c r="E124" s="16"/>
      <c r="F124" s="16"/>
      <c r="G124" s="16"/>
      <c r="H124" s="16"/>
      <c r="I124" s="16"/>
      <c r="J124" s="16"/>
      <c r="K124"/>
      <c r="L124"/>
      <c r="M124"/>
      <c r="N124"/>
    </row>
    <row r="125" spans="1:14" x14ac:dyDescent="0.25">
      <c r="A125" s="13"/>
      <c r="B125" s="16"/>
      <c r="C125" s="13"/>
      <c r="D125" s="16"/>
      <c r="E125" s="16"/>
      <c r="F125" s="16"/>
      <c r="G125" s="16"/>
      <c r="H125" s="16"/>
      <c r="I125" s="16"/>
      <c r="J125" s="16"/>
      <c r="K125"/>
      <c r="L125"/>
      <c r="M125"/>
      <c r="N125"/>
    </row>
    <row r="126" spans="1:14" x14ac:dyDescent="0.25">
      <c r="A126" s="13"/>
      <c r="B126" s="16"/>
      <c r="C126" s="13"/>
      <c r="D126" s="16"/>
      <c r="E126" s="16"/>
      <c r="F126" s="16"/>
      <c r="G126" s="16"/>
      <c r="H126" s="16"/>
      <c r="I126" s="16"/>
      <c r="J126" s="16"/>
      <c r="K126"/>
      <c r="L126"/>
      <c r="M126"/>
      <c r="N126"/>
    </row>
    <row r="127" spans="1:14" x14ac:dyDescent="0.25">
      <c r="A127" s="13"/>
      <c r="B127" s="16"/>
      <c r="C127" s="13"/>
      <c r="D127" s="16"/>
      <c r="E127" s="16"/>
      <c r="F127" s="16"/>
      <c r="G127" s="16"/>
      <c r="H127" s="16"/>
      <c r="I127" s="16"/>
      <c r="J127" s="16"/>
      <c r="K127"/>
      <c r="L127"/>
      <c r="M127"/>
      <c r="N127"/>
    </row>
    <row r="128" spans="1:14" x14ac:dyDescent="0.25">
      <c r="A128" s="13"/>
      <c r="B128" s="16"/>
      <c r="C128" s="13"/>
      <c r="D128" s="16"/>
      <c r="E128" s="16"/>
      <c r="F128" s="16"/>
      <c r="G128" s="16"/>
      <c r="H128" s="16"/>
      <c r="I128" s="16"/>
      <c r="J128" s="16"/>
      <c r="K128"/>
      <c r="L128"/>
      <c r="M128"/>
      <c r="N128"/>
    </row>
    <row r="129" spans="1:14" x14ac:dyDescent="0.25">
      <c r="A129" s="13"/>
      <c r="B129" s="16"/>
      <c r="C129" s="13"/>
      <c r="D129" s="16"/>
      <c r="E129" s="16"/>
      <c r="F129" s="16"/>
      <c r="G129" s="16"/>
      <c r="H129" s="16"/>
      <c r="I129" s="16"/>
      <c r="J129" s="16"/>
      <c r="K129"/>
      <c r="L129"/>
      <c r="M129"/>
      <c r="N129"/>
    </row>
    <row r="130" spans="1:14" x14ac:dyDescent="0.25">
      <c r="A130" s="13"/>
      <c r="B130" s="16"/>
      <c r="C130" s="13"/>
      <c r="D130" s="16"/>
      <c r="E130" s="16"/>
      <c r="F130" s="16"/>
      <c r="G130" s="16"/>
      <c r="H130" s="16"/>
      <c r="I130" s="16"/>
      <c r="J130" s="16"/>
      <c r="K130"/>
      <c r="L130"/>
      <c r="M130"/>
      <c r="N130"/>
    </row>
    <row r="131" spans="1:14" x14ac:dyDescent="0.25">
      <c r="A131" s="13"/>
      <c r="B131" s="16"/>
      <c r="C131" s="13"/>
      <c r="D131" s="16"/>
      <c r="E131" s="16"/>
      <c r="F131" s="16"/>
      <c r="G131" s="16"/>
      <c r="H131" s="16"/>
      <c r="I131" s="16"/>
      <c r="J131" s="16"/>
      <c r="K131"/>
      <c r="L131"/>
      <c r="M131"/>
      <c r="N131"/>
    </row>
    <row r="132" spans="1:14" x14ac:dyDescent="0.25">
      <c r="A132" s="13"/>
      <c r="B132" s="16"/>
      <c r="C132" s="13"/>
      <c r="D132" s="16"/>
      <c r="E132" s="16"/>
      <c r="F132" s="16"/>
      <c r="G132" s="16"/>
      <c r="H132" s="16"/>
      <c r="I132" s="16"/>
      <c r="J132" s="16"/>
      <c r="K132"/>
      <c r="L132"/>
      <c r="M132"/>
      <c r="N132"/>
    </row>
    <row r="133" spans="1:14" x14ac:dyDescent="0.25">
      <c r="A133" s="13"/>
      <c r="B133" s="16"/>
      <c r="C133" s="13"/>
      <c r="D133" s="16"/>
      <c r="E133" s="16"/>
      <c r="F133" s="16"/>
      <c r="G133" s="16"/>
      <c r="H133" s="16"/>
      <c r="I133" s="16"/>
      <c r="J133" s="16"/>
      <c r="K133"/>
      <c r="L133"/>
      <c r="M133"/>
      <c r="N133"/>
    </row>
    <row r="134" spans="1:14" x14ac:dyDescent="0.25">
      <c r="A134" s="13"/>
      <c r="B134" s="16"/>
      <c r="C134" s="13"/>
      <c r="D134" s="16"/>
      <c r="E134" s="16"/>
      <c r="F134" s="16"/>
      <c r="G134" s="16"/>
      <c r="H134" s="16"/>
      <c r="I134" s="16"/>
      <c r="J134" s="16"/>
      <c r="K134"/>
      <c r="L134"/>
      <c r="M134"/>
      <c r="N134"/>
    </row>
    <row r="135" spans="1:14" x14ac:dyDescent="0.25">
      <c r="A135" s="13"/>
      <c r="B135" s="16"/>
      <c r="C135" s="13"/>
      <c r="D135" s="16"/>
      <c r="E135" s="16"/>
      <c r="F135" s="16"/>
      <c r="G135" s="16"/>
      <c r="H135" s="16"/>
      <c r="I135" s="16"/>
      <c r="J135" s="16"/>
      <c r="K135"/>
      <c r="L135"/>
      <c r="M135"/>
      <c r="N135"/>
    </row>
    <row r="136" spans="1:14" x14ac:dyDescent="0.25">
      <c r="A136" s="13"/>
      <c r="B136" s="16"/>
      <c r="C136" s="13"/>
      <c r="D136" s="16"/>
      <c r="E136" s="16"/>
      <c r="F136" s="16"/>
      <c r="G136" s="16"/>
      <c r="H136" s="16"/>
      <c r="I136" s="16"/>
      <c r="J136" s="16"/>
      <c r="K136"/>
      <c r="L136"/>
      <c r="M136"/>
      <c r="N136"/>
    </row>
    <row r="137" spans="1:14" x14ac:dyDescent="0.25">
      <c r="A137" s="13"/>
      <c r="B137" s="16"/>
      <c r="C137" s="13"/>
      <c r="D137" s="16"/>
      <c r="E137" s="16"/>
      <c r="F137" s="16"/>
      <c r="G137" s="16"/>
      <c r="H137" s="16"/>
      <c r="I137" s="16"/>
      <c r="J137" s="16"/>
      <c r="K137"/>
      <c r="L137"/>
      <c r="M137"/>
      <c r="N137"/>
    </row>
    <row r="138" spans="1:14" x14ac:dyDescent="0.25">
      <c r="A138" s="13"/>
      <c r="B138" s="16"/>
      <c r="C138" s="13"/>
      <c r="D138" s="16"/>
      <c r="E138" s="16"/>
      <c r="F138" s="16"/>
      <c r="G138" s="16"/>
      <c r="H138" s="16"/>
      <c r="I138" s="16"/>
      <c r="J138" s="16"/>
      <c r="K138"/>
      <c r="L138"/>
      <c r="M138"/>
      <c r="N138"/>
    </row>
    <row r="139" spans="1:14" x14ac:dyDescent="0.25">
      <c r="A139" s="13"/>
      <c r="B139" s="16"/>
      <c r="C139" s="13"/>
      <c r="D139" s="16"/>
      <c r="E139" s="16"/>
      <c r="F139" s="16"/>
      <c r="G139" s="16"/>
      <c r="H139" s="16"/>
      <c r="I139" s="16"/>
      <c r="J139" s="16"/>
      <c r="K139"/>
      <c r="L139"/>
      <c r="M139"/>
      <c r="N139"/>
    </row>
    <row r="140" spans="1:14" x14ac:dyDescent="0.25">
      <c r="A140" s="13"/>
      <c r="B140" s="16"/>
      <c r="C140" s="13"/>
      <c r="D140" s="16"/>
      <c r="E140" s="16"/>
      <c r="F140" s="16"/>
      <c r="G140" s="16"/>
      <c r="H140" s="16"/>
      <c r="I140" s="16"/>
      <c r="J140" s="16"/>
      <c r="K140"/>
      <c r="L140"/>
      <c r="M140"/>
      <c r="N140"/>
    </row>
    <row r="141" spans="1:14" x14ac:dyDescent="0.25">
      <c r="A141" s="13"/>
      <c r="B141" s="16"/>
      <c r="C141" s="13"/>
      <c r="D141" s="16"/>
      <c r="E141" s="16"/>
      <c r="F141" s="16"/>
      <c r="G141" s="16"/>
      <c r="H141" s="16"/>
      <c r="I141" s="16"/>
      <c r="J141" s="16"/>
      <c r="K141"/>
      <c r="L141"/>
      <c r="M141"/>
      <c r="N141"/>
    </row>
    <row r="142" spans="1:14" x14ac:dyDescent="0.25">
      <c r="A142" s="13"/>
      <c r="B142" s="16"/>
      <c r="C142" s="13"/>
      <c r="D142" s="16"/>
      <c r="E142" s="16"/>
      <c r="F142" s="16"/>
      <c r="G142" s="16"/>
      <c r="H142" s="16"/>
      <c r="I142" s="16"/>
      <c r="J142" s="16"/>
      <c r="K142"/>
      <c r="L142"/>
      <c r="M142"/>
      <c r="N142"/>
    </row>
    <row r="143" spans="1:14" x14ac:dyDescent="0.25">
      <c r="A143" s="13"/>
      <c r="B143" s="16"/>
      <c r="C143" s="13"/>
      <c r="D143" s="16"/>
      <c r="E143" s="16"/>
      <c r="F143" s="16"/>
      <c r="G143" s="16"/>
      <c r="H143" s="16"/>
      <c r="I143" s="16"/>
      <c r="J143" s="16"/>
      <c r="K143"/>
      <c r="L143"/>
      <c r="M143"/>
      <c r="N143"/>
    </row>
    <row r="144" spans="1:14" x14ac:dyDescent="0.25">
      <c r="A144" s="13"/>
      <c r="B144" s="16"/>
      <c r="C144" s="13"/>
      <c r="D144" s="16"/>
      <c r="E144" s="16"/>
      <c r="F144" s="16"/>
      <c r="G144" s="16"/>
      <c r="H144" s="16"/>
      <c r="I144" s="16"/>
      <c r="J144" s="16"/>
      <c r="K144"/>
      <c r="L144"/>
      <c r="M144"/>
      <c r="N144"/>
    </row>
    <row r="145" spans="1:14" x14ac:dyDescent="0.25">
      <c r="A145" s="13"/>
      <c r="B145" s="16"/>
      <c r="C145" s="13"/>
      <c r="D145" s="16"/>
      <c r="E145" s="16"/>
      <c r="F145" s="16"/>
      <c r="G145" s="16"/>
      <c r="H145" s="16"/>
      <c r="I145" s="16"/>
      <c r="J145" s="16"/>
      <c r="K145"/>
      <c r="L145"/>
      <c r="M145"/>
      <c r="N145"/>
    </row>
    <row r="146" spans="1:14" x14ac:dyDescent="0.25">
      <c r="A146" s="13"/>
      <c r="B146" s="16"/>
      <c r="C146" s="13"/>
      <c r="D146" s="16"/>
      <c r="E146" s="16"/>
      <c r="F146" s="16"/>
      <c r="G146" s="16"/>
      <c r="H146" s="16"/>
      <c r="I146" s="16"/>
      <c r="J146" s="16"/>
      <c r="K146"/>
      <c r="L146"/>
      <c r="M146"/>
      <c r="N146"/>
    </row>
    <row r="147" spans="1:14" x14ac:dyDescent="0.25">
      <c r="A147" s="13"/>
      <c r="B147" s="16"/>
      <c r="C147" s="13"/>
      <c r="D147" s="16"/>
      <c r="E147" s="16"/>
      <c r="F147" s="16"/>
      <c r="G147" s="16"/>
      <c r="H147" s="16"/>
      <c r="I147" s="16"/>
      <c r="J147" s="16"/>
      <c r="K147"/>
      <c r="L147"/>
      <c r="M147"/>
      <c r="N147"/>
    </row>
    <row r="148" spans="1:14" x14ac:dyDescent="0.25">
      <c r="A148" s="13"/>
      <c r="B148" s="16"/>
      <c r="C148" s="13"/>
      <c r="D148" s="16"/>
      <c r="E148" s="16"/>
      <c r="F148" s="16"/>
      <c r="G148" s="16"/>
      <c r="H148" s="16"/>
      <c r="I148" s="16"/>
      <c r="J148" s="16"/>
      <c r="K148"/>
      <c r="L148"/>
      <c r="M148"/>
      <c r="N148"/>
    </row>
    <row r="149" spans="1:14" x14ac:dyDescent="0.25">
      <c r="A149" s="13"/>
      <c r="B149" s="16"/>
      <c r="C149" s="13"/>
      <c r="D149" s="16"/>
      <c r="E149" s="16"/>
      <c r="F149" s="16"/>
      <c r="G149" s="16"/>
      <c r="H149" s="16"/>
      <c r="I149" s="16"/>
      <c r="J149" s="16"/>
      <c r="K149"/>
      <c r="L149"/>
      <c r="M149"/>
      <c r="N149"/>
    </row>
    <row r="150" spans="1:14" x14ac:dyDescent="0.25">
      <c r="A150" s="13"/>
      <c r="B150" s="16"/>
      <c r="C150" s="13"/>
      <c r="D150" s="16"/>
      <c r="E150" s="16"/>
      <c r="F150" s="16"/>
      <c r="G150" s="16"/>
      <c r="H150" s="16"/>
      <c r="I150" s="16"/>
      <c r="J150" s="16"/>
      <c r="K150"/>
      <c r="L150"/>
      <c r="M150"/>
      <c r="N150"/>
    </row>
    <row r="151" spans="1:14" x14ac:dyDescent="0.25">
      <c r="A151" s="13"/>
      <c r="B151" s="16"/>
      <c r="C151" s="13"/>
      <c r="D151" s="16"/>
      <c r="E151" s="16"/>
      <c r="F151" s="16"/>
      <c r="G151" s="16"/>
      <c r="H151" s="16"/>
      <c r="I151" s="16"/>
      <c r="J151" s="16"/>
      <c r="K151"/>
      <c r="L151"/>
      <c r="M151"/>
      <c r="N151"/>
    </row>
    <row r="152" spans="1:14" x14ac:dyDescent="0.25">
      <c r="A152" s="13"/>
      <c r="B152" s="16"/>
      <c r="C152" s="13"/>
      <c r="D152" s="16"/>
      <c r="E152" s="16"/>
      <c r="F152" s="16"/>
      <c r="G152" s="16"/>
      <c r="H152" s="16"/>
      <c r="I152" s="16"/>
      <c r="J152" s="16"/>
      <c r="K152"/>
      <c r="L152"/>
      <c r="M152"/>
      <c r="N152"/>
    </row>
    <row r="153" spans="1:14" x14ac:dyDescent="0.25">
      <c r="A153" s="13"/>
      <c r="B153" s="16"/>
      <c r="C153" s="13"/>
      <c r="D153" s="16"/>
      <c r="E153" s="16"/>
      <c r="F153" s="16"/>
      <c r="G153" s="16"/>
      <c r="H153" s="16"/>
      <c r="I153" s="16"/>
      <c r="J153" s="16"/>
      <c r="K153"/>
      <c r="L153"/>
      <c r="M153"/>
      <c r="N153"/>
    </row>
    <row r="154" spans="1:14" x14ac:dyDescent="0.25">
      <c r="A154" s="13"/>
      <c r="B154" s="16"/>
      <c r="C154" s="13"/>
      <c r="D154" s="16"/>
      <c r="E154" s="16"/>
      <c r="F154" s="16"/>
      <c r="G154" s="16"/>
      <c r="H154" s="16"/>
      <c r="I154" s="16"/>
      <c r="J154" s="16"/>
      <c r="K154"/>
      <c r="L154"/>
      <c r="M154"/>
      <c r="N154"/>
    </row>
    <row r="155" spans="1:14" x14ac:dyDescent="0.25">
      <c r="A155" s="13"/>
      <c r="B155" s="16"/>
      <c r="C155" s="13"/>
      <c r="D155" s="16"/>
      <c r="E155" s="16"/>
      <c r="F155" s="16"/>
      <c r="G155" s="16"/>
      <c r="H155" s="16"/>
      <c r="I155" s="16"/>
      <c r="J155" s="16"/>
      <c r="K155"/>
      <c r="L155"/>
      <c r="M155"/>
      <c r="N155"/>
    </row>
    <row r="156" spans="1:14" x14ac:dyDescent="0.25">
      <c r="A156" s="13"/>
      <c r="B156" s="16"/>
      <c r="C156" s="13"/>
      <c r="D156" s="16"/>
      <c r="E156" s="16"/>
      <c r="F156" s="16"/>
      <c r="G156" s="16"/>
      <c r="H156" s="16"/>
      <c r="I156" s="16"/>
      <c r="J156" s="16"/>
      <c r="K156"/>
      <c r="L156"/>
      <c r="M156"/>
      <c r="N156"/>
    </row>
    <row r="157" spans="1:14" x14ac:dyDescent="0.25">
      <c r="A157" s="13"/>
      <c r="B157" s="16"/>
      <c r="C157" s="13"/>
      <c r="D157" s="16"/>
      <c r="E157" s="16"/>
      <c r="F157" s="16"/>
      <c r="G157" s="16"/>
      <c r="H157" s="16"/>
      <c r="I157" s="16"/>
      <c r="J157" s="16"/>
      <c r="K157"/>
      <c r="L157"/>
      <c r="M157"/>
      <c r="N157"/>
    </row>
    <row r="158" spans="1:14" x14ac:dyDescent="0.25">
      <c r="A158" s="13"/>
      <c r="B158" s="16"/>
      <c r="C158" s="13"/>
      <c r="D158" s="16"/>
      <c r="E158" s="16"/>
      <c r="F158" s="16"/>
      <c r="G158" s="16"/>
      <c r="H158" s="16"/>
      <c r="I158" s="16"/>
      <c r="J158" s="16"/>
      <c r="K158"/>
      <c r="L158"/>
      <c r="M158"/>
      <c r="N158"/>
    </row>
    <row r="159" spans="1:14" x14ac:dyDescent="0.25">
      <c r="A159" s="13"/>
      <c r="B159" s="16"/>
      <c r="C159" s="13"/>
      <c r="D159" s="16"/>
      <c r="E159" s="16"/>
      <c r="F159" s="16"/>
      <c r="G159" s="16"/>
      <c r="H159" s="16"/>
      <c r="I159" s="16"/>
      <c r="J159" s="16"/>
      <c r="K159"/>
      <c r="L159"/>
      <c r="M159"/>
      <c r="N159"/>
    </row>
    <row r="160" spans="1:14" x14ac:dyDescent="0.25">
      <c r="A160" s="13"/>
      <c r="B160" s="16"/>
      <c r="C160" s="13"/>
      <c r="D160" s="16"/>
      <c r="E160" s="16"/>
      <c r="F160" s="16"/>
      <c r="G160" s="16"/>
      <c r="H160" s="16"/>
      <c r="I160" s="16"/>
      <c r="J160" s="16"/>
      <c r="K160"/>
      <c r="L160"/>
      <c r="M160"/>
      <c r="N160"/>
    </row>
    <row r="161" spans="1:14" x14ac:dyDescent="0.25">
      <c r="A161" s="13"/>
      <c r="B161" s="16"/>
      <c r="C161" s="13"/>
      <c r="D161" s="16"/>
      <c r="E161" s="16"/>
      <c r="F161" s="16"/>
      <c r="G161" s="16"/>
      <c r="H161" s="16"/>
      <c r="I161" s="16"/>
      <c r="J161" s="16"/>
      <c r="K161"/>
      <c r="L161"/>
      <c r="M161"/>
      <c r="N161"/>
    </row>
    <row r="162" spans="1:14" x14ac:dyDescent="0.25">
      <c r="A162" s="13"/>
      <c r="B162" s="16"/>
      <c r="C162" s="13"/>
      <c r="D162" s="16"/>
      <c r="E162" s="16"/>
      <c r="F162" s="16"/>
      <c r="G162" s="16"/>
      <c r="H162" s="16"/>
      <c r="I162" s="16"/>
      <c r="J162" s="16"/>
      <c r="K162"/>
      <c r="L162"/>
      <c r="M162"/>
      <c r="N162"/>
    </row>
    <row r="163" spans="1:14" x14ac:dyDescent="0.25">
      <c r="A163" s="13"/>
      <c r="B163" s="16"/>
      <c r="C163" s="13"/>
      <c r="D163" s="16"/>
      <c r="E163" s="16"/>
      <c r="F163" s="16"/>
      <c r="G163" s="16"/>
      <c r="H163" s="16"/>
      <c r="I163" s="16"/>
      <c r="J163" s="16"/>
      <c r="K163"/>
      <c r="L163"/>
      <c r="M163"/>
      <c r="N163"/>
    </row>
    <row r="164" spans="1:14" x14ac:dyDescent="0.25">
      <c r="A164" s="13"/>
      <c r="B164" s="16"/>
      <c r="C164" s="13"/>
      <c r="D164" s="16"/>
      <c r="E164" s="16"/>
      <c r="F164" s="16"/>
      <c r="G164" s="16"/>
      <c r="H164" s="16"/>
      <c r="I164" s="16"/>
      <c r="J164" s="16"/>
      <c r="K164"/>
      <c r="L164"/>
      <c r="M164"/>
      <c r="N164"/>
    </row>
    <row r="165" spans="1:14" x14ac:dyDescent="0.25">
      <c r="A165" s="13"/>
      <c r="B165" s="16"/>
      <c r="C165" s="13"/>
      <c r="D165" s="16"/>
      <c r="E165" s="16"/>
      <c r="F165" s="16"/>
      <c r="G165" s="16"/>
      <c r="H165" s="16"/>
      <c r="I165" s="16"/>
      <c r="J165" s="16"/>
      <c r="K165"/>
      <c r="L165"/>
      <c r="M165"/>
      <c r="N165"/>
    </row>
    <row r="166" spans="1:14" x14ac:dyDescent="0.25">
      <c r="A166" s="13"/>
      <c r="B166" s="16"/>
      <c r="C166" s="13"/>
      <c r="D166" s="16"/>
      <c r="E166" s="16"/>
      <c r="F166" s="16"/>
      <c r="G166" s="16"/>
      <c r="H166" s="16"/>
      <c r="I166" s="16"/>
      <c r="J166" s="16"/>
      <c r="K166"/>
      <c r="L166"/>
      <c r="M166"/>
      <c r="N166"/>
    </row>
    <row r="167" spans="1:14" x14ac:dyDescent="0.25">
      <c r="A167" s="13"/>
      <c r="B167" s="16"/>
      <c r="C167" s="13"/>
      <c r="D167" s="16"/>
      <c r="E167" s="16"/>
      <c r="F167" s="16"/>
      <c r="G167" s="16"/>
      <c r="H167" s="16"/>
      <c r="I167" s="16"/>
      <c r="J167" s="16"/>
      <c r="K167"/>
      <c r="L167"/>
      <c r="M167"/>
      <c r="N167"/>
    </row>
    <row r="168" spans="1:14" x14ac:dyDescent="0.25">
      <c r="A168" s="13"/>
      <c r="B168" s="16"/>
      <c r="C168" s="13"/>
      <c r="D168" s="16"/>
      <c r="E168" s="16"/>
      <c r="F168" s="16"/>
      <c r="G168" s="16"/>
      <c r="H168" s="16"/>
      <c r="I168" s="16"/>
      <c r="J168" s="16"/>
      <c r="K168"/>
      <c r="L168"/>
      <c r="M168"/>
      <c r="N168"/>
    </row>
    <row r="169" spans="1:14" x14ac:dyDescent="0.25">
      <c r="A169" s="13"/>
      <c r="B169" s="16"/>
      <c r="C169" s="13"/>
      <c r="D169" s="16"/>
      <c r="E169" s="16"/>
      <c r="F169" s="16"/>
      <c r="G169" s="16"/>
      <c r="H169" s="16"/>
      <c r="I169" s="16"/>
      <c r="J169" s="16"/>
      <c r="K169"/>
      <c r="L169"/>
      <c r="M169"/>
      <c r="N169"/>
    </row>
    <row r="170" spans="1:14" x14ac:dyDescent="0.25">
      <c r="A170" s="13"/>
      <c r="B170" s="16"/>
      <c r="C170" s="13"/>
      <c r="D170" s="16"/>
      <c r="E170" s="16"/>
      <c r="F170" s="16"/>
      <c r="G170" s="16"/>
      <c r="H170" s="16"/>
      <c r="I170" s="16"/>
      <c r="J170" s="16"/>
      <c r="K170"/>
      <c r="L170"/>
      <c r="M170"/>
      <c r="N170"/>
    </row>
    <row r="171" spans="1:14" x14ac:dyDescent="0.25">
      <c r="A171" s="13"/>
      <c r="B171" s="16"/>
      <c r="C171" s="13"/>
      <c r="D171" s="16"/>
      <c r="E171" s="16"/>
      <c r="F171" s="16"/>
      <c r="G171" s="16"/>
      <c r="H171" s="16"/>
      <c r="I171" s="16"/>
      <c r="J171" s="16"/>
      <c r="K171"/>
      <c r="L171"/>
      <c r="M171"/>
      <c r="N171"/>
    </row>
    <row r="172" spans="1:14" x14ac:dyDescent="0.25">
      <c r="A172" s="13"/>
      <c r="B172" s="16"/>
      <c r="C172" s="13"/>
      <c r="D172" s="16"/>
      <c r="E172" s="16"/>
      <c r="F172" s="16"/>
      <c r="G172" s="16"/>
      <c r="H172" s="16"/>
      <c r="I172" s="16"/>
      <c r="J172" s="16"/>
      <c r="K172"/>
      <c r="L172"/>
      <c r="M172"/>
      <c r="N172"/>
    </row>
    <row r="173" spans="1:14" x14ac:dyDescent="0.25">
      <c r="A173" s="13"/>
      <c r="B173" s="16"/>
      <c r="C173" s="13"/>
      <c r="D173" s="16"/>
      <c r="E173" s="16"/>
      <c r="F173" s="16"/>
      <c r="G173" s="16"/>
      <c r="H173" s="16"/>
      <c r="I173" s="16"/>
      <c r="J173" s="16"/>
      <c r="K173"/>
      <c r="L173"/>
      <c r="M173"/>
      <c r="N173"/>
    </row>
    <row r="174" spans="1:14" x14ac:dyDescent="0.25">
      <c r="A174" s="13"/>
      <c r="B174" s="16"/>
      <c r="C174" s="13"/>
      <c r="D174" s="16"/>
      <c r="E174" s="16"/>
      <c r="F174" s="16"/>
      <c r="G174" s="16"/>
      <c r="H174" s="16"/>
      <c r="I174" s="16"/>
      <c r="J174" s="16"/>
      <c r="K174"/>
      <c r="L174"/>
      <c r="M174"/>
      <c r="N174"/>
    </row>
    <row r="175" spans="1:14" x14ac:dyDescent="0.25">
      <c r="A175" s="13"/>
      <c r="B175" s="16"/>
      <c r="C175" s="13"/>
      <c r="D175" s="16"/>
      <c r="E175" s="16"/>
      <c r="F175" s="16"/>
      <c r="G175" s="16"/>
      <c r="H175" s="16"/>
      <c r="I175" s="16"/>
      <c r="J175" s="16"/>
      <c r="K175"/>
      <c r="L175"/>
      <c r="M175"/>
      <c r="N175"/>
    </row>
    <row r="176" spans="1:14" x14ac:dyDescent="0.25">
      <c r="A176" s="13"/>
      <c r="B176" s="16"/>
      <c r="C176" s="13"/>
      <c r="D176" s="16"/>
      <c r="E176" s="16"/>
      <c r="F176" s="16"/>
      <c r="G176" s="16"/>
      <c r="H176" s="16"/>
      <c r="I176" s="16"/>
      <c r="J176" s="16"/>
      <c r="K176"/>
      <c r="L176"/>
      <c r="M176"/>
      <c r="N176"/>
    </row>
    <row r="177" spans="1:14" x14ac:dyDescent="0.25">
      <c r="A177" s="13"/>
      <c r="B177" s="16"/>
      <c r="C177" s="13"/>
      <c r="D177" s="16"/>
      <c r="E177" s="16"/>
      <c r="F177" s="16"/>
      <c r="G177" s="16"/>
      <c r="H177" s="16"/>
      <c r="I177" s="16"/>
      <c r="J177" s="16"/>
      <c r="K177"/>
      <c r="L177"/>
      <c r="M177"/>
      <c r="N177"/>
    </row>
    <row r="178" spans="1:14" x14ac:dyDescent="0.25">
      <c r="A178" s="13"/>
      <c r="B178" s="16"/>
      <c r="C178" s="13"/>
      <c r="D178" s="16"/>
      <c r="E178" s="16"/>
      <c r="F178" s="16"/>
      <c r="G178" s="16"/>
      <c r="H178" s="16"/>
      <c r="I178" s="16"/>
      <c r="J178" s="16"/>
      <c r="K178"/>
      <c r="L178"/>
      <c r="M178"/>
      <c r="N178"/>
    </row>
    <row r="179" spans="1:14" x14ac:dyDescent="0.25">
      <c r="A179" s="13"/>
      <c r="B179" s="16"/>
      <c r="C179" s="13"/>
      <c r="D179" s="16"/>
      <c r="E179" s="16"/>
      <c r="F179" s="16"/>
      <c r="G179" s="16"/>
      <c r="H179" s="16"/>
      <c r="I179" s="16"/>
      <c r="J179" s="16"/>
      <c r="K179"/>
      <c r="L179"/>
      <c r="M179"/>
      <c r="N179"/>
    </row>
    <row r="180" spans="1:14" x14ac:dyDescent="0.25">
      <c r="A180" s="13"/>
      <c r="B180" s="16"/>
      <c r="C180" s="13"/>
      <c r="D180" s="16"/>
      <c r="E180" s="16"/>
      <c r="F180" s="16"/>
      <c r="G180" s="16"/>
      <c r="H180" s="16"/>
      <c r="I180" s="16"/>
      <c r="J180" s="16"/>
      <c r="K180"/>
      <c r="L180"/>
      <c r="M180"/>
      <c r="N180"/>
    </row>
    <row r="181" spans="1:14" x14ac:dyDescent="0.25">
      <c r="A181" s="13"/>
      <c r="B181" s="16"/>
      <c r="C181" s="13"/>
      <c r="D181" s="16"/>
      <c r="E181" s="16"/>
      <c r="F181" s="16"/>
      <c r="G181" s="16"/>
      <c r="H181" s="16"/>
      <c r="I181" s="16"/>
      <c r="J181" s="16"/>
      <c r="K181"/>
      <c r="L181"/>
      <c r="M181"/>
      <c r="N181"/>
    </row>
    <row r="182" spans="1:14" x14ac:dyDescent="0.25">
      <c r="A182" s="13"/>
      <c r="B182" s="16"/>
      <c r="C182" s="13"/>
      <c r="D182" s="16"/>
      <c r="E182" s="16"/>
      <c r="F182" s="16"/>
      <c r="G182" s="16"/>
      <c r="H182" s="16"/>
      <c r="I182" s="16"/>
      <c r="J182" s="16"/>
      <c r="K182"/>
      <c r="L182"/>
      <c r="M182"/>
      <c r="N182"/>
    </row>
    <row r="183" spans="1:14" x14ac:dyDescent="0.25">
      <c r="A183" s="13"/>
      <c r="B183" s="16"/>
      <c r="C183" s="13"/>
      <c r="D183" s="16"/>
      <c r="E183" s="16"/>
      <c r="F183" s="16"/>
      <c r="G183" s="16"/>
      <c r="H183" s="16"/>
      <c r="I183" s="16"/>
      <c r="J183" s="16"/>
      <c r="K183"/>
      <c r="L183"/>
      <c r="M183"/>
      <c r="N183"/>
    </row>
    <row r="184" spans="1:14" x14ac:dyDescent="0.25">
      <c r="A184" s="13"/>
      <c r="B184" s="16"/>
      <c r="C184" s="13"/>
      <c r="D184" s="16"/>
      <c r="E184" s="16"/>
      <c r="F184" s="16"/>
      <c r="G184" s="16"/>
      <c r="H184" s="16"/>
      <c r="I184" s="16"/>
      <c r="J184" s="16"/>
      <c r="K184"/>
      <c r="L184"/>
      <c r="M184"/>
      <c r="N184"/>
    </row>
    <row r="185" spans="1:14" x14ac:dyDescent="0.25">
      <c r="A185" s="13"/>
      <c r="B185" s="16"/>
      <c r="C185" s="13"/>
      <c r="D185" s="16"/>
      <c r="E185" s="16"/>
      <c r="F185" s="16"/>
      <c r="G185" s="16"/>
      <c r="H185" s="16"/>
      <c r="I185" s="16"/>
      <c r="J185" s="16"/>
      <c r="K185"/>
      <c r="L185"/>
      <c r="M185"/>
      <c r="N185"/>
    </row>
    <row r="186" spans="1:14" x14ac:dyDescent="0.25">
      <c r="A186" s="13"/>
      <c r="B186" s="16"/>
      <c r="C186" s="13"/>
      <c r="D186" s="16"/>
      <c r="E186" s="16"/>
      <c r="F186" s="16"/>
      <c r="G186" s="16"/>
      <c r="H186" s="16"/>
      <c r="I186" s="16"/>
      <c r="J186" s="16"/>
      <c r="K186"/>
      <c r="L186"/>
      <c r="M186"/>
      <c r="N186"/>
    </row>
    <row r="187" spans="1:14" x14ac:dyDescent="0.25">
      <c r="A187" s="13"/>
      <c r="B187" s="16"/>
      <c r="C187" s="13"/>
      <c r="D187" s="16"/>
      <c r="E187" s="16"/>
      <c r="F187" s="16"/>
      <c r="G187" s="16"/>
      <c r="H187" s="16"/>
      <c r="I187" s="16"/>
      <c r="J187" s="16"/>
      <c r="K187"/>
      <c r="L187"/>
      <c r="M187"/>
      <c r="N187"/>
    </row>
    <row r="188" spans="1:14" x14ac:dyDescent="0.25">
      <c r="A188" s="13"/>
      <c r="B188" s="16"/>
      <c r="C188" s="13"/>
      <c r="D188" s="16"/>
      <c r="E188" s="16"/>
      <c r="F188" s="16"/>
      <c r="G188" s="16"/>
      <c r="H188" s="16"/>
      <c r="I188" s="16"/>
      <c r="J188" s="16"/>
      <c r="K188"/>
      <c r="L188"/>
      <c r="M188"/>
      <c r="N188"/>
    </row>
    <row r="189" spans="1:14" x14ac:dyDescent="0.25">
      <c r="A189" s="13"/>
      <c r="B189" s="16"/>
      <c r="C189" s="13"/>
      <c r="D189" s="16"/>
      <c r="E189" s="16"/>
      <c r="F189" s="16"/>
      <c r="G189" s="16"/>
      <c r="H189" s="16"/>
      <c r="I189" s="16"/>
      <c r="J189" s="16"/>
      <c r="K189"/>
      <c r="L189"/>
      <c r="M189"/>
      <c r="N189"/>
    </row>
    <row r="190" spans="1:14" x14ac:dyDescent="0.25">
      <c r="A190" s="13"/>
      <c r="B190" s="16"/>
      <c r="C190" s="13"/>
      <c r="D190" s="16"/>
      <c r="E190" s="16"/>
      <c r="F190" s="16"/>
      <c r="G190" s="16"/>
      <c r="H190" s="16"/>
      <c r="I190" s="16"/>
      <c r="J190" s="16"/>
      <c r="K190"/>
      <c r="L190"/>
      <c r="M190"/>
      <c r="N190"/>
    </row>
    <row r="191" spans="1:14" x14ac:dyDescent="0.25">
      <c r="A191" s="13"/>
      <c r="B191" s="16"/>
      <c r="C191" s="13"/>
      <c r="D191" s="16"/>
      <c r="E191" s="16"/>
      <c r="F191" s="16"/>
      <c r="G191" s="16"/>
      <c r="H191" s="16"/>
      <c r="I191" s="16"/>
      <c r="J191" s="16"/>
      <c r="K191"/>
      <c r="L191"/>
      <c r="M191"/>
      <c r="N191"/>
    </row>
    <row r="192" spans="1:14" x14ac:dyDescent="0.25">
      <c r="A192" s="13"/>
      <c r="B192" s="16"/>
      <c r="C192" s="13"/>
      <c r="D192" s="16"/>
      <c r="E192" s="16"/>
      <c r="F192" s="16"/>
      <c r="G192" s="16"/>
      <c r="H192" s="16"/>
      <c r="I192" s="16"/>
      <c r="J192" s="16"/>
      <c r="K192"/>
      <c r="L192"/>
      <c r="M192"/>
      <c r="N192"/>
    </row>
    <row r="193" spans="1:14" x14ac:dyDescent="0.25">
      <c r="A193" s="13"/>
      <c r="B193" s="16"/>
      <c r="C193" s="13"/>
      <c r="D193" s="16"/>
      <c r="E193" s="16"/>
      <c r="F193" s="16"/>
      <c r="G193" s="16"/>
      <c r="H193" s="16"/>
      <c r="I193" s="16"/>
      <c r="J193" s="16"/>
      <c r="K193"/>
      <c r="L193"/>
      <c r="M193"/>
      <c r="N193"/>
    </row>
    <row r="194" spans="1:14" x14ac:dyDescent="0.25">
      <c r="A194" s="13"/>
      <c r="B194" s="16"/>
      <c r="C194" s="13"/>
      <c r="D194" s="16"/>
      <c r="E194" s="16"/>
      <c r="F194" s="16"/>
      <c r="G194" s="16"/>
      <c r="H194" s="16"/>
      <c r="I194" s="16"/>
      <c r="J194" s="16"/>
      <c r="K194"/>
      <c r="L194"/>
      <c r="M194"/>
      <c r="N194"/>
    </row>
    <row r="195" spans="1:14" x14ac:dyDescent="0.25">
      <c r="A195" s="13"/>
      <c r="B195" s="16"/>
      <c r="C195" s="13"/>
      <c r="D195" s="16"/>
      <c r="E195" s="16"/>
      <c r="F195" s="16"/>
      <c r="G195" s="16"/>
      <c r="H195" s="16"/>
      <c r="I195" s="16"/>
      <c r="J195" s="16"/>
      <c r="K195"/>
      <c r="L195"/>
      <c r="M195"/>
      <c r="N195"/>
    </row>
    <row r="196" spans="1:14" x14ac:dyDescent="0.25">
      <c r="A196" s="13"/>
      <c r="B196" s="16"/>
      <c r="C196" s="13"/>
      <c r="D196" s="16"/>
      <c r="E196" s="16"/>
      <c r="F196" s="16"/>
      <c r="G196" s="16"/>
      <c r="H196" s="16"/>
      <c r="I196" s="16"/>
      <c r="J196" s="16"/>
      <c r="K196"/>
      <c r="L196"/>
      <c r="M196"/>
      <c r="N196"/>
    </row>
    <row r="197" spans="1:14" x14ac:dyDescent="0.25">
      <c r="A197" s="13"/>
      <c r="B197" s="16"/>
      <c r="C197" s="13"/>
      <c r="D197" s="16"/>
      <c r="E197" s="16"/>
      <c r="F197" s="16"/>
      <c r="G197" s="16"/>
      <c r="H197" s="16"/>
      <c r="I197" s="16"/>
      <c r="J197" s="16"/>
      <c r="K197"/>
      <c r="L197"/>
      <c r="M197"/>
      <c r="N197"/>
    </row>
    <row r="198" spans="1:14" x14ac:dyDescent="0.25">
      <c r="A198" s="13"/>
      <c r="B198" s="16"/>
      <c r="C198" s="13"/>
      <c r="D198" s="16"/>
      <c r="E198" s="16"/>
      <c r="F198" s="16"/>
      <c r="G198" s="16"/>
      <c r="H198" s="16"/>
      <c r="I198" s="16"/>
      <c r="J198" s="16"/>
      <c r="K198"/>
      <c r="L198"/>
      <c r="M198"/>
      <c r="N198"/>
    </row>
    <row r="199" spans="1:14" x14ac:dyDescent="0.25">
      <c r="A199" s="13"/>
      <c r="B199" s="16"/>
      <c r="C199" s="13"/>
      <c r="D199" s="16"/>
      <c r="E199" s="16"/>
      <c r="F199" s="16"/>
      <c r="G199" s="16"/>
      <c r="H199" s="16"/>
      <c r="I199" s="16"/>
      <c r="J199" s="16"/>
      <c r="K199"/>
      <c r="L199"/>
      <c r="M199"/>
      <c r="N199"/>
    </row>
    <row r="200" spans="1:14" x14ac:dyDescent="0.25">
      <c r="A200" s="13"/>
      <c r="B200" s="16"/>
      <c r="C200" s="13"/>
      <c r="D200" s="16"/>
      <c r="E200" s="16"/>
      <c r="F200" s="16"/>
      <c r="G200" s="16"/>
      <c r="H200" s="16"/>
      <c r="I200" s="16"/>
      <c r="J200" s="16"/>
      <c r="K200"/>
      <c r="L200"/>
      <c r="M200"/>
      <c r="N200"/>
    </row>
    <row r="201" spans="1:14" x14ac:dyDescent="0.25">
      <c r="A201" s="13"/>
      <c r="B201" s="16"/>
      <c r="C201" s="13"/>
      <c r="D201" s="16"/>
      <c r="E201" s="16"/>
      <c r="F201" s="16"/>
      <c r="G201" s="16"/>
      <c r="H201" s="16"/>
      <c r="I201" s="16"/>
      <c r="J201" s="16"/>
      <c r="K201"/>
      <c r="L201"/>
      <c r="M201"/>
      <c r="N201"/>
    </row>
    <row r="202" spans="1:14" x14ac:dyDescent="0.25">
      <c r="A202" s="13"/>
      <c r="B202" s="16"/>
      <c r="C202" s="13"/>
      <c r="D202" s="16"/>
      <c r="E202" s="16"/>
      <c r="F202" s="16"/>
      <c r="G202" s="16"/>
      <c r="H202" s="16"/>
      <c r="I202" s="16"/>
      <c r="J202" s="16"/>
      <c r="K202"/>
      <c r="L202"/>
      <c r="M202"/>
      <c r="N202"/>
    </row>
    <row r="203" spans="1:14" x14ac:dyDescent="0.25">
      <c r="A203" s="13"/>
      <c r="B203" s="16"/>
      <c r="C203" s="13"/>
      <c r="D203" s="16"/>
      <c r="E203" s="16"/>
      <c r="F203" s="16"/>
      <c r="G203" s="16"/>
      <c r="H203" s="16"/>
      <c r="I203" s="16"/>
      <c r="J203" s="16"/>
      <c r="K203"/>
      <c r="L203"/>
      <c r="M203"/>
      <c r="N203"/>
    </row>
    <row r="204" spans="1:14" x14ac:dyDescent="0.25">
      <c r="A204" s="13"/>
      <c r="B204" s="16"/>
      <c r="C204" s="13"/>
      <c r="D204" s="16"/>
      <c r="E204" s="16"/>
      <c r="F204" s="16"/>
      <c r="G204" s="16"/>
      <c r="H204" s="16"/>
      <c r="I204" s="16"/>
      <c r="J204" s="16"/>
      <c r="K204"/>
      <c r="L204"/>
      <c r="M204"/>
      <c r="N204"/>
    </row>
    <row r="205" spans="1:14" x14ac:dyDescent="0.25">
      <c r="A205" s="13"/>
      <c r="B205" s="16"/>
      <c r="C205" s="13"/>
      <c r="D205" s="16"/>
      <c r="E205" s="16"/>
      <c r="F205" s="16"/>
      <c r="G205" s="16"/>
      <c r="H205" s="16"/>
      <c r="I205" s="16"/>
      <c r="J205" s="16"/>
      <c r="K205"/>
      <c r="L205"/>
      <c r="M205"/>
      <c r="N205"/>
    </row>
    <row r="206" spans="1:14" x14ac:dyDescent="0.25">
      <c r="A206" s="13"/>
      <c r="B206" s="16"/>
      <c r="C206" s="13"/>
      <c r="D206" s="16"/>
      <c r="E206" s="16"/>
      <c r="F206" s="16"/>
      <c r="G206" s="16"/>
      <c r="H206" s="16"/>
      <c r="I206" s="16"/>
      <c r="J206" s="16"/>
      <c r="K206"/>
      <c r="L206"/>
      <c r="M206"/>
      <c r="N206"/>
    </row>
    <row r="207" spans="1:14" x14ac:dyDescent="0.25">
      <c r="A207" s="13"/>
      <c r="B207" s="16"/>
      <c r="C207" s="13"/>
      <c r="D207" s="16"/>
      <c r="E207" s="16"/>
      <c r="F207" s="16"/>
      <c r="G207" s="16"/>
      <c r="H207" s="16"/>
      <c r="I207" s="16"/>
      <c r="J207" s="16"/>
      <c r="K207"/>
      <c r="L207"/>
      <c r="M207"/>
      <c r="N207"/>
    </row>
    <row r="208" spans="1:14" x14ac:dyDescent="0.25">
      <c r="A208" s="13"/>
      <c r="B208" s="16"/>
      <c r="C208" s="13"/>
      <c r="D208" s="16"/>
      <c r="E208" s="16"/>
      <c r="F208" s="16"/>
      <c r="G208" s="16"/>
      <c r="H208" s="16"/>
      <c r="I208" s="16"/>
      <c r="J208" s="16"/>
      <c r="K208"/>
      <c r="L208"/>
      <c r="M208"/>
      <c r="N208"/>
    </row>
    <row r="209" spans="1:14" x14ac:dyDescent="0.25">
      <c r="A209" s="13"/>
      <c r="B209" s="16"/>
      <c r="C209" s="13"/>
      <c r="D209" s="16"/>
      <c r="E209" s="16"/>
      <c r="F209" s="16"/>
      <c r="G209" s="16"/>
      <c r="H209" s="16"/>
      <c r="I209" s="16"/>
      <c r="J209" s="16"/>
      <c r="K209"/>
      <c r="L209"/>
      <c r="M209"/>
      <c r="N209"/>
    </row>
    <row r="210" spans="1:14" x14ac:dyDescent="0.25">
      <c r="A210" s="13"/>
      <c r="B210" s="16"/>
      <c r="C210" s="13"/>
      <c r="D210" s="16"/>
      <c r="E210" s="16"/>
      <c r="F210" s="16"/>
      <c r="G210" s="16"/>
      <c r="H210" s="16"/>
      <c r="I210" s="16"/>
      <c r="J210" s="16"/>
      <c r="K210"/>
      <c r="L210"/>
      <c r="M210"/>
      <c r="N210"/>
    </row>
    <row r="211" spans="1:14" x14ac:dyDescent="0.25">
      <c r="A211" s="13"/>
      <c r="B211" s="16"/>
      <c r="C211" s="13"/>
      <c r="D211" s="16"/>
      <c r="E211" s="16"/>
      <c r="F211" s="16"/>
      <c r="G211" s="16"/>
      <c r="H211" s="16"/>
      <c r="I211" s="16"/>
      <c r="J211" s="16"/>
      <c r="K211"/>
      <c r="L211"/>
      <c r="M211"/>
      <c r="N211"/>
    </row>
    <row r="212" spans="1:14" x14ac:dyDescent="0.25">
      <c r="A212" s="13"/>
      <c r="B212" s="16"/>
      <c r="C212" s="13"/>
      <c r="D212" s="16"/>
      <c r="E212" s="16"/>
      <c r="F212" s="16"/>
      <c r="G212" s="16"/>
      <c r="H212" s="16"/>
      <c r="I212" s="16"/>
      <c r="J212" s="16"/>
      <c r="K212"/>
      <c r="L212"/>
      <c r="M212"/>
      <c r="N212"/>
    </row>
    <row r="213" spans="1:14" x14ac:dyDescent="0.25">
      <c r="A213" s="13"/>
      <c r="B213" s="16"/>
      <c r="C213" s="13"/>
      <c r="D213" s="16"/>
      <c r="E213" s="16"/>
      <c r="F213" s="16"/>
      <c r="G213" s="16"/>
      <c r="H213" s="16"/>
      <c r="I213" s="16"/>
      <c r="J213" s="16"/>
      <c r="K213"/>
      <c r="L213"/>
      <c r="M213"/>
      <c r="N213"/>
    </row>
    <row r="214" spans="1:14" x14ac:dyDescent="0.25">
      <c r="A214" s="13"/>
      <c r="B214" s="16"/>
      <c r="C214" s="13"/>
      <c r="D214" s="16"/>
      <c r="E214" s="16"/>
      <c r="F214" s="16"/>
      <c r="G214" s="16"/>
      <c r="H214" s="16"/>
      <c r="I214" s="16"/>
      <c r="J214" s="16"/>
      <c r="K214"/>
      <c r="L214"/>
      <c r="M214"/>
      <c r="N214"/>
    </row>
    <row r="215" spans="1:14" x14ac:dyDescent="0.25">
      <c r="A215" s="13"/>
      <c r="B215" s="16"/>
      <c r="C215" s="13"/>
      <c r="D215" s="16"/>
      <c r="E215" s="16"/>
      <c r="F215" s="16"/>
      <c r="G215" s="16"/>
      <c r="H215" s="16"/>
      <c r="I215" s="16"/>
      <c r="J215" s="16"/>
      <c r="K215"/>
      <c r="L215"/>
      <c r="M215"/>
      <c r="N215"/>
    </row>
    <row r="216" spans="1:14" x14ac:dyDescent="0.25">
      <c r="A216" s="13"/>
      <c r="B216" s="16"/>
      <c r="C216" s="13"/>
      <c r="D216" s="16"/>
      <c r="E216" s="16"/>
      <c r="F216" s="16"/>
      <c r="G216" s="16"/>
      <c r="H216" s="16"/>
      <c r="I216" s="16"/>
      <c r="J216" s="16"/>
      <c r="K216"/>
      <c r="L216"/>
      <c r="M216"/>
      <c r="N216"/>
    </row>
    <row r="217" spans="1:14" x14ac:dyDescent="0.25">
      <c r="A217" s="13"/>
      <c r="B217" s="16"/>
      <c r="C217" s="13"/>
      <c r="D217" s="16"/>
      <c r="E217" s="16"/>
      <c r="F217" s="16"/>
      <c r="G217" s="16"/>
      <c r="H217" s="16"/>
      <c r="I217" s="16"/>
      <c r="J217" s="16"/>
      <c r="K217"/>
      <c r="L217"/>
      <c r="M217"/>
      <c r="N217"/>
    </row>
    <row r="218" spans="1:14" x14ac:dyDescent="0.25">
      <c r="A218" s="13"/>
      <c r="B218" s="16"/>
      <c r="C218" s="13"/>
      <c r="D218" s="16"/>
      <c r="E218" s="16"/>
      <c r="F218" s="16"/>
      <c r="G218" s="16"/>
      <c r="H218" s="16"/>
      <c r="I218" s="16"/>
      <c r="J218" s="16"/>
      <c r="K218"/>
      <c r="L218"/>
      <c r="M218"/>
      <c r="N218"/>
    </row>
    <row r="219" spans="1:14" x14ac:dyDescent="0.25">
      <c r="A219" s="13"/>
      <c r="B219" s="16"/>
      <c r="C219" s="13"/>
      <c r="D219" s="16"/>
      <c r="E219" s="16"/>
      <c r="F219" s="16"/>
      <c r="G219" s="16"/>
      <c r="H219" s="16"/>
      <c r="I219" s="16"/>
      <c r="J219" s="16"/>
      <c r="K219"/>
      <c r="L219"/>
      <c r="M219"/>
      <c r="N219"/>
    </row>
    <row r="220" spans="1:14" x14ac:dyDescent="0.25">
      <c r="A220" s="13"/>
      <c r="B220" s="16"/>
      <c r="C220" s="13"/>
      <c r="D220" s="16"/>
      <c r="E220" s="16"/>
      <c r="F220" s="16"/>
      <c r="G220" s="16"/>
      <c r="H220" s="16"/>
      <c r="I220" s="16"/>
      <c r="J220" s="16"/>
      <c r="K220"/>
      <c r="L220"/>
      <c r="M220"/>
      <c r="N220"/>
    </row>
    <row r="221" spans="1:14" x14ac:dyDescent="0.25">
      <c r="A221" s="13"/>
      <c r="B221" s="16"/>
      <c r="C221" s="13"/>
      <c r="D221" s="16"/>
      <c r="E221" s="16"/>
      <c r="F221" s="16"/>
      <c r="G221" s="16"/>
      <c r="H221" s="16"/>
      <c r="I221" s="16"/>
      <c r="J221" s="16"/>
      <c r="K221"/>
      <c r="L221"/>
      <c r="M221"/>
      <c r="N221"/>
    </row>
    <row r="222" spans="1:14" x14ac:dyDescent="0.25">
      <c r="A222" s="13"/>
      <c r="B222" s="16"/>
      <c r="C222" s="13"/>
      <c r="D222" s="16"/>
      <c r="E222" s="16"/>
      <c r="F222" s="16"/>
      <c r="G222" s="16"/>
      <c r="H222" s="16"/>
      <c r="I222" s="16"/>
      <c r="J222" s="16"/>
      <c r="K222"/>
      <c r="L222"/>
      <c r="M222"/>
      <c r="N222"/>
    </row>
    <row r="223" spans="1:14" x14ac:dyDescent="0.25">
      <c r="A223" s="13"/>
      <c r="B223" s="16"/>
      <c r="C223" s="13"/>
      <c r="D223" s="16"/>
      <c r="E223" s="16"/>
      <c r="F223" s="16"/>
      <c r="G223" s="16"/>
      <c r="H223" s="16"/>
      <c r="I223" s="16"/>
      <c r="J223" s="16"/>
      <c r="K223"/>
      <c r="L223"/>
      <c r="M223"/>
      <c r="N223"/>
    </row>
    <row r="224" spans="1:14" x14ac:dyDescent="0.25">
      <c r="A224" s="13"/>
      <c r="B224" s="16"/>
      <c r="C224" s="13"/>
      <c r="D224" s="16"/>
      <c r="E224" s="16"/>
      <c r="F224" s="16"/>
      <c r="G224" s="16"/>
      <c r="H224" s="16"/>
      <c r="I224" s="16"/>
      <c r="J224" s="16"/>
      <c r="K224"/>
      <c r="L224"/>
      <c r="M224"/>
      <c r="N224"/>
    </row>
    <row r="225" spans="1:14" x14ac:dyDescent="0.25">
      <c r="A225" s="13"/>
      <c r="B225" s="16"/>
      <c r="C225" s="13"/>
      <c r="D225" s="16"/>
      <c r="E225" s="16"/>
      <c r="F225" s="16"/>
      <c r="G225" s="16"/>
      <c r="H225" s="16"/>
      <c r="I225" s="16"/>
      <c r="J225" s="16"/>
      <c r="K225"/>
      <c r="L225"/>
      <c r="M225"/>
      <c r="N225"/>
    </row>
    <row r="226" spans="1:14" x14ac:dyDescent="0.25">
      <c r="A226" s="13"/>
      <c r="B226" s="16"/>
      <c r="C226" s="13"/>
      <c r="D226" s="16"/>
      <c r="E226" s="16"/>
      <c r="F226" s="16"/>
      <c r="G226" s="16"/>
      <c r="H226" s="16"/>
      <c r="I226" s="16"/>
      <c r="J226" s="16"/>
      <c r="K226"/>
      <c r="L226"/>
      <c r="M226"/>
      <c r="N226"/>
    </row>
    <row r="227" spans="1:14" x14ac:dyDescent="0.25">
      <c r="A227" s="13"/>
      <c r="B227" s="16"/>
      <c r="C227" s="13"/>
      <c r="D227" s="16"/>
      <c r="E227" s="16"/>
      <c r="F227" s="16"/>
      <c r="G227" s="16"/>
      <c r="H227" s="16"/>
      <c r="I227" s="16"/>
      <c r="J227" s="16"/>
      <c r="K227"/>
      <c r="L227"/>
      <c r="M227"/>
      <c r="N227"/>
    </row>
    <row r="228" spans="1:14" x14ac:dyDescent="0.25">
      <c r="A228" s="13"/>
      <c r="B228" s="16"/>
      <c r="C228" s="13"/>
      <c r="D228" s="16"/>
      <c r="E228" s="16"/>
      <c r="F228" s="16"/>
      <c r="G228" s="16"/>
      <c r="H228" s="16"/>
      <c r="I228" s="16"/>
      <c r="J228" s="16"/>
      <c r="K228"/>
      <c r="L228"/>
      <c r="M228"/>
      <c r="N228"/>
    </row>
    <row r="229" spans="1:14" x14ac:dyDescent="0.25">
      <c r="A229" s="13"/>
      <c r="B229" s="16"/>
      <c r="C229" s="13"/>
      <c r="D229" s="16"/>
      <c r="E229" s="16"/>
      <c r="F229" s="16"/>
      <c r="G229" s="16"/>
      <c r="H229" s="16"/>
      <c r="I229" s="16"/>
      <c r="J229" s="16"/>
      <c r="K229"/>
      <c r="L229"/>
      <c r="M229"/>
      <c r="N229"/>
    </row>
    <row r="230" spans="1:14" x14ac:dyDescent="0.25">
      <c r="A230" s="13"/>
      <c r="B230" s="16"/>
      <c r="C230" s="13"/>
      <c r="D230" s="16"/>
      <c r="E230" s="16"/>
      <c r="F230" s="16"/>
      <c r="G230" s="16"/>
      <c r="H230" s="16"/>
      <c r="I230" s="16"/>
      <c r="J230" s="16"/>
      <c r="K230"/>
      <c r="L230"/>
      <c r="M230"/>
      <c r="N230"/>
    </row>
    <row r="231" spans="1:14" x14ac:dyDescent="0.25">
      <c r="A231" s="13"/>
      <c r="B231" s="16"/>
      <c r="C231" s="13"/>
      <c r="D231" s="16"/>
      <c r="E231" s="16"/>
      <c r="F231" s="16"/>
      <c r="G231" s="16"/>
      <c r="H231" s="16"/>
      <c r="I231" s="16"/>
      <c r="J231" s="16"/>
      <c r="K231"/>
      <c r="L231"/>
      <c r="M231"/>
      <c r="N231"/>
    </row>
    <row r="232" spans="1:14" x14ac:dyDescent="0.25">
      <c r="A232" s="13"/>
      <c r="B232" s="16"/>
      <c r="C232" s="13"/>
      <c r="D232" s="16"/>
      <c r="E232" s="16"/>
      <c r="F232" s="16"/>
      <c r="G232" s="16"/>
      <c r="H232" s="16"/>
      <c r="I232" s="16"/>
      <c r="J232" s="16"/>
      <c r="K232"/>
      <c r="L232"/>
      <c r="M232"/>
      <c r="N232"/>
    </row>
    <row r="233" spans="1:14" x14ac:dyDescent="0.25">
      <c r="A233" s="13"/>
      <c r="B233" s="16"/>
      <c r="C233" s="13"/>
      <c r="D233" s="16"/>
      <c r="E233" s="16"/>
      <c r="F233" s="16"/>
      <c r="G233" s="16"/>
      <c r="H233" s="16"/>
      <c r="I233" s="16"/>
      <c r="J233" s="16"/>
      <c r="K233"/>
      <c r="L233"/>
      <c r="M233"/>
      <c r="N233"/>
    </row>
    <row r="234" spans="1:14" x14ac:dyDescent="0.25">
      <c r="A234" s="13"/>
      <c r="B234" s="16"/>
      <c r="C234" s="13"/>
      <c r="D234" s="16"/>
      <c r="E234" s="16"/>
      <c r="F234" s="16"/>
      <c r="G234" s="16"/>
      <c r="H234" s="16"/>
      <c r="I234" s="16"/>
      <c r="J234" s="16"/>
      <c r="K234"/>
      <c r="L234"/>
      <c r="M234"/>
      <c r="N234"/>
    </row>
    <row r="235" spans="1:14" x14ac:dyDescent="0.25">
      <c r="A235" s="13"/>
      <c r="B235" s="16"/>
      <c r="C235" s="13"/>
      <c r="D235" s="16"/>
      <c r="E235" s="16"/>
      <c r="F235" s="16"/>
      <c r="G235" s="16"/>
      <c r="H235" s="16"/>
      <c r="I235" s="16"/>
      <c r="J235" s="16"/>
      <c r="K235"/>
      <c r="L235"/>
      <c r="M235"/>
      <c r="N235"/>
    </row>
    <row r="236" spans="1:14" x14ac:dyDescent="0.25">
      <c r="A236" s="13"/>
      <c r="B236" s="16"/>
      <c r="C236" s="13"/>
      <c r="D236" s="16"/>
      <c r="E236" s="16"/>
      <c r="F236" s="16"/>
      <c r="G236" s="16"/>
      <c r="H236" s="16"/>
      <c r="I236" s="16"/>
      <c r="J236" s="16"/>
      <c r="K236"/>
      <c r="L236"/>
      <c r="M236"/>
      <c r="N236"/>
    </row>
    <row r="237" spans="1:14" x14ac:dyDescent="0.25">
      <c r="A237" s="13"/>
      <c r="B237" s="16"/>
      <c r="C237" s="13"/>
      <c r="D237" s="16"/>
      <c r="E237" s="16"/>
      <c r="F237" s="16"/>
      <c r="G237" s="16"/>
      <c r="H237" s="16"/>
      <c r="I237" s="16"/>
      <c r="J237" s="16"/>
      <c r="K237"/>
      <c r="L237"/>
      <c r="M237"/>
      <c r="N237"/>
    </row>
    <row r="238" spans="1:14" x14ac:dyDescent="0.25">
      <c r="A238" s="13"/>
      <c r="B238" s="16"/>
      <c r="C238" s="13"/>
      <c r="D238" s="16"/>
      <c r="E238" s="16"/>
      <c r="F238" s="16"/>
      <c r="G238" s="16"/>
      <c r="H238" s="16"/>
      <c r="I238" s="16"/>
      <c r="J238" s="16"/>
      <c r="K238"/>
      <c r="L238"/>
      <c r="M238"/>
      <c r="N238"/>
    </row>
    <row r="239" spans="1:14" x14ac:dyDescent="0.25">
      <c r="A239" s="13"/>
      <c r="B239" s="16"/>
      <c r="C239" s="13"/>
      <c r="D239" s="16"/>
      <c r="E239" s="16"/>
      <c r="F239" s="16"/>
      <c r="G239" s="16"/>
      <c r="H239" s="16"/>
      <c r="I239" s="16"/>
      <c r="J239" s="16"/>
      <c r="K239"/>
      <c r="L239"/>
      <c r="M239"/>
      <c r="N239"/>
    </row>
    <row r="240" spans="1:14" x14ac:dyDescent="0.25">
      <c r="A240" s="13"/>
      <c r="B240" s="16"/>
      <c r="C240" s="13"/>
      <c r="D240" s="16"/>
      <c r="E240" s="16"/>
      <c r="F240" s="16"/>
      <c r="G240" s="16"/>
      <c r="H240" s="16"/>
      <c r="I240" s="16"/>
      <c r="J240" s="16"/>
      <c r="K240"/>
      <c r="L240"/>
      <c r="M240"/>
      <c r="N240"/>
    </row>
    <row r="241" spans="1:14" x14ac:dyDescent="0.25">
      <c r="A241" s="13"/>
      <c r="B241" s="16"/>
      <c r="C241" s="13"/>
      <c r="D241" s="16"/>
      <c r="E241" s="16"/>
      <c r="F241" s="16"/>
      <c r="G241" s="16"/>
      <c r="H241" s="16"/>
      <c r="I241" s="16"/>
      <c r="J241" s="16"/>
      <c r="K241"/>
      <c r="L241"/>
      <c r="M241"/>
      <c r="N241"/>
    </row>
    <row r="242" spans="1:14" x14ac:dyDescent="0.25">
      <c r="A242" s="13"/>
      <c r="B242" s="16"/>
      <c r="C242" s="13"/>
      <c r="D242" s="16"/>
      <c r="E242" s="16"/>
      <c r="F242" s="16"/>
      <c r="G242" s="16"/>
      <c r="H242" s="16"/>
      <c r="I242" s="16"/>
      <c r="J242" s="16"/>
      <c r="K242"/>
      <c r="L242"/>
      <c r="M242"/>
      <c r="N242"/>
    </row>
    <row r="243" spans="1:14" x14ac:dyDescent="0.25">
      <c r="A243" s="13"/>
      <c r="B243" s="16"/>
      <c r="C243" s="13"/>
      <c r="D243" s="16"/>
      <c r="E243" s="16"/>
      <c r="F243" s="16"/>
      <c r="G243" s="16"/>
      <c r="H243" s="16"/>
      <c r="I243" s="16"/>
      <c r="J243" s="16"/>
      <c r="K243"/>
      <c r="L243"/>
      <c r="M243"/>
      <c r="N243"/>
    </row>
    <row r="244" spans="1:14" x14ac:dyDescent="0.25">
      <c r="A244" s="13"/>
      <c r="B244" s="16"/>
      <c r="C244" s="13"/>
      <c r="D244" s="16"/>
      <c r="E244" s="16"/>
      <c r="F244" s="16"/>
      <c r="G244" s="16"/>
      <c r="H244" s="16"/>
      <c r="I244" s="16"/>
      <c r="J244" s="16"/>
      <c r="K244"/>
      <c r="L244"/>
      <c r="M244"/>
      <c r="N244"/>
    </row>
    <row r="245" spans="1:14" x14ac:dyDescent="0.25">
      <c r="A245" s="13"/>
      <c r="B245" s="16"/>
      <c r="C245" s="13"/>
      <c r="D245" s="16"/>
      <c r="E245" s="16"/>
      <c r="F245" s="16"/>
      <c r="G245" s="16"/>
      <c r="H245" s="16"/>
      <c r="I245" s="16"/>
      <c r="J245" s="16"/>
      <c r="K245"/>
      <c r="L245"/>
      <c r="M245"/>
      <c r="N245"/>
    </row>
    <row r="246" spans="1:14" x14ac:dyDescent="0.25">
      <c r="A246" s="13"/>
      <c r="B246" s="16"/>
      <c r="C246" s="13"/>
      <c r="D246" s="16"/>
      <c r="E246" s="16"/>
      <c r="F246" s="16"/>
      <c r="G246" s="16"/>
      <c r="H246" s="16"/>
      <c r="I246" s="16"/>
      <c r="J246" s="16"/>
      <c r="K246"/>
      <c r="L246"/>
      <c r="M246"/>
      <c r="N246"/>
    </row>
    <row r="247" spans="1:14" x14ac:dyDescent="0.25">
      <c r="A247" s="13"/>
      <c r="B247" s="16"/>
      <c r="C247" s="13"/>
      <c r="D247" s="16"/>
      <c r="E247" s="16"/>
      <c r="F247" s="16"/>
      <c r="G247" s="16"/>
      <c r="H247" s="16"/>
      <c r="I247" s="16"/>
      <c r="J247" s="16"/>
      <c r="K247"/>
      <c r="L247"/>
      <c r="M247"/>
      <c r="N247"/>
    </row>
    <row r="248" spans="1:14" x14ac:dyDescent="0.25">
      <c r="A248" s="13"/>
      <c r="B248" s="16"/>
      <c r="C248" s="13"/>
      <c r="D248" s="16"/>
      <c r="E248" s="16"/>
      <c r="F248" s="16"/>
      <c r="G248" s="16"/>
      <c r="H248" s="16"/>
      <c r="I248" s="16"/>
      <c r="J248" s="16"/>
      <c r="K248"/>
      <c r="L248"/>
      <c r="M248"/>
      <c r="N248"/>
    </row>
    <row r="249" spans="1:14" x14ac:dyDescent="0.25">
      <c r="A249" s="13"/>
      <c r="B249" s="16"/>
      <c r="C249" s="13"/>
      <c r="D249" s="16"/>
      <c r="E249" s="16"/>
      <c r="F249" s="16"/>
      <c r="G249" s="16"/>
      <c r="H249" s="16"/>
      <c r="I249" s="16"/>
      <c r="J249" s="16"/>
      <c r="K249"/>
      <c r="L249"/>
      <c r="M249"/>
      <c r="N249"/>
    </row>
    <row r="250" spans="1:14" x14ac:dyDescent="0.25">
      <c r="A250" s="13"/>
      <c r="B250" s="16"/>
      <c r="C250" s="13"/>
      <c r="D250" s="16"/>
      <c r="E250" s="16"/>
      <c r="F250" s="16"/>
      <c r="G250" s="16"/>
      <c r="H250" s="16"/>
      <c r="I250" s="16"/>
      <c r="J250" s="16"/>
      <c r="K250"/>
      <c r="L250"/>
      <c r="M250"/>
      <c r="N250"/>
    </row>
    <row r="251" spans="1:14" x14ac:dyDescent="0.25">
      <c r="A251" s="13"/>
      <c r="B251" s="16"/>
      <c r="C251" s="13"/>
      <c r="D251" s="16"/>
      <c r="E251" s="16"/>
      <c r="F251" s="16"/>
      <c r="G251" s="16"/>
      <c r="H251" s="16"/>
      <c r="I251" s="16"/>
      <c r="J251" s="16"/>
      <c r="K251"/>
      <c r="L251"/>
      <c r="M251"/>
      <c r="N251"/>
    </row>
    <row r="252" spans="1:14" x14ac:dyDescent="0.25">
      <c r="A252" s="13"/>
      <c r="B252" s="16"/>
      <c r="C252" s="13"/>
      <c r="D252" s="16"/>
      <c r="E252" s="16"/>
      <c r="F252" s="16"/>
      <c r="G252" s="16"/>
      <c r="H252" s="16"/>
      <c r="I252" s="16"/>
      <c r="J252" s="16"/>
      <c r="K252"/>
      <c r="L252"/>
      <c r="M252"/>
      <c r="N252"/>
    </row>
    <row r="253" spans="1:14" x14ac:dyDescent="0.25">
      <c r="A253" s="13"/>
      <c r="B253" s="16"/>
      <c r="C253" s="13"/>
      <c r="D253" s="16"/>
      <c r="E253" s="16"/>
      <c r="F253" s="16"/>
      <c r="G253" s="16"/>
      <c r="H253" s="16"/>
      <c r="I253" s="16"/>
      <c r="J253" s="16"/>
      <c r="K253"/>
      <c r="L253"/>
      <c r="M253"/>
      <c r="N253"/>
    </row>
    <row r="254" spans="1:14" x14ac:dyDescent="0.25">
      <c r="A254" s="13"/>
      <c r="B254" s="16"/>
      <c r="C254" s="13"/>
      <c r="D254" s="16"/>
      <c r="E254" s="16"/>
      <c r="F254" s="16"/>
      <c r="G254" s="16"/>
      <c r="H254" s="16"/>
      <c r="I254" s="16"/>
      <c r="J254" s="16"/>
      <c r="K254"/>
      <c r="L254"/>
      <c r="M254"/>
      <c r="N254"/>
    </row>
    <row r="255" spans="1:14" x14ac:dyDescent="0.25">
      <c r="A255" s="13"/>
      <c r="B255" s="16"/>
      <c r="C255" s="13"/>
      <c r="D255" s="16"/>
      <c r="E255" s="16"/>
      <c r="F255" s="16"/>
      <c r="G255" s="16"/>
      <c r="H255" s="16"/>
      <c r="I255" s="16"/>
      <c r="J255" s="16"/>
      <c r="K255"/>
      <c r="L255"/>
      <c r="M255"/>
      <c r="N255"/>
    </row>
    <row r="256" spans="1:14" x14ac:dyDescent="0.25">
      <c r="A256" s="13"/>
      <c r="B256" s="16"/>
      <c r="C256" s="13"/>
      <c r="D256" s="16"/>
      <c r="E256" s="16"/>
      <c r="F256" s="16"/>
      <c r="G256" s="16"/>
      <c r="H256" s="16"/>
      <c r="I256" s="16"/>
      <c r="J256" s="16"/>
      <c r="K256"/>
      <c r="L256"/>
      <c r="M256"/>
      <c r="N256"/>
    </row>
    <row r="257" spans="1:14" x14ac:dyDescent="0.25">
      <c r="A257" s="13"/>
      <c r="B257" s="16"/>
      <c r="C257" s="13"/>
      <c r="D257" s="16"/>
      <c r="E257" s="16"/>
      <c r="F257" s="16"/>
      <c r="G257" s="16"/>
      <c r="H257" s="16"/>
      <c r="I257" s="16"/>
      <c r="J257" s="16"/>
      <c r="K257"/>
      <c r="L257"/>
      <c r="M257"/>
      <c r="N257"/>
    </row>
    <row r="258" spans="1:14" x14ac:dyDescent="0.25">
      <c r="A258" s="13"/>
      <c r="B258" s="16"/>
      <c r="C258" s="13"/>
      <c r="D258" s="16"/>
      <c r="E258" s="16"/>
      <c r="F258" s="16"/>
      <c r="G258" s="16"/>
      <c r="H258" s="16"/>
      <c r="I258" s="16"/>
      <c r="J258" s="16"/>
      <c r="K258"/>
      <c r="L258"/>
      <c r="M258"/>
      <c r="N258"/>
    </row>
    <row r="259" spans="1:14" x14ac:dyDescent="0.25">
      <c r="A259" s="13"/>
      <c r="B259" s="16"/>
      <c r="C259" s="13"/>
      <c r="D259" s="16"/>
      <c r="E259" s="16"/>
      <c r="F259" s="16"/>
      <c r="G259" s="16"/>
      <c r="H259" s="16"/>
      <c r="I259" s="16"/>
      <c r="J259" s="16"/>
      <c r="K259"/>
      <c r="L259"/>
      <c r="M259"/>
      <c r="N259"/>
    </row>
    <row r="260" spans="1:14" x14ac:dyDescent="0.25">
      <c r="A260" s="13"/>
      <c r="B260" s="16"/>
      <c r="C260" s="13"/>
      <c r="D260" s="16"/>
      <c r="E260" s="16"/>
      <c r="F260" s="16"/>
      <c r="G260" s="16"/>
      <c r="H260" s="16"/>
      <c r="I260" s="16"/>
      <c r="J260" s="16"/>
      <c r="K260"/>
      <c r="L260"/>
      <c r="M260"/>
      <c r="N260"/>
    </row>
    <row r="261" spans="1:14" x14ac:dyDescent="0.25">
      <c r="A261" s="13"/>
      <c r="B261" s="16"/>
      <c r="C261" s="13"/>
      <c r="D261" s="16"/>
      <c r="E261" s="16"/>
      <c r="F261" s="16"/>
      <c r="G261" s="16"/>
      <c r="H261" s="16"/>
      <c r="I261" s="16"/>
      <c r="J261" s="16"/>
      <c r="K261"/>
      <c r="L261"/>
      <c r="M261"/>
      <c r="N261"/>
    </row>
    <row r="262" spans="1:14" x14ac:dyDescent="0.25">
      <c r="A262" s="13"/>
      <c r="B262" s="16"/>
      <c r="C262" s="13"/>
      <c r="D262" s="16"/>
      <c r="E262" s="16"/>
      <c r="F262" s="16"/>
      <c r="G262" s="16"/>
      <c r="H262" s="16"/>
      <c r="I262" s="16"/>
      <c r="J262" s="16"/>
      <c r="K262"/>
      <c r="L262"/>
      <c r="M262"/>
      <c r="N262"/>
    </row>
    <row r="263" spans="1:14" x14ac:dyDescent="0.25">
      <c r="A263" s="13"/>
      <c r="B263" s="16"/>
      <c r="C263" s="13"/>
      <c r="D263" s="16"/>
      <c r="E263" s="16"/>
      <c r="F263" s="16"/>
      <c r="G263" s="16"/>
      <c r="H263" s="16"/>
      <c r="I263" s="16"/>
      <c r="J263" s="16"/>
      <c r="K263"/>
      <c r="L263"/>
      <c r="M263"/>
      <c r="N263"/>
    </row>
    <row r="264" spans="1:14" x14ac:dyDescent="0.25">
      <c r="A264" s="13"/>
      <c r="B264" s="16"/>
      <c r="C264" s="13"/>
      <c r="D264" s="16"/>
      <c r="E264" s="16"/>
      <c r="F264" s="16"/>
      <c r="G264" s="16"/>
      <c r="H264" s="16"/>
      <c r="I264" s="16"/>
      <c r="J264" s="16"/>
      <c r="K264"/>
      <c r="L264"/>
      <c r="M264"/>
      <c r="N264"/>
    </row>
    <row r="265" spans="1:14" x14ac:dyDescent="0.25">
      <c r="A265" s="13"/>
      <c r="B265" s="16"/>
      <c r="C265" s="13"/>
      <c r="D265" s="16"/>
      <c r="E265" s="16"/>
      <c r="F265" s="16"/>
      <c r="G265" s="16"/>
      <c r="H265" s="16"/>
      <c r="I265" s="16"/>
      <c r="J265" s="16"/>
      <c r="K265"/>
      <c r="L265"/>
      <c r="M265"/>
      <c r="N265"/>
    </row>
    <row r="266" spans="1:14" x14ac:dyDescent="0.25">
      <c r="A266" s="13"/>
      <c r="B266" s="16"/>
      <c r="C266" s="13"/>
      <c r="D266" s="16"/>
      <c r="E266" s="16"/>
      <c r="F266" s="16"/>
      <c r="G266" s="16"/>
      <c r="H266" s="16"/>
      <c r="I266" s="16"/>
      <c r="J266" s="16"/>
      <c r="K266"/>
      <c r="L266"/>
      <c r="M266"/>
      <c r="N266"/>
    </row>
    <row r="267" spans="1:14" x14ac:dyDescent="0.25">
      <c r="A267" s="13"/>
      <c r="B267" s="16"/>
      <c r="C267" s="13"/>
      <c r="D267" s="16"/>
      <c r="E267" s="16"/>
      <c r="F267" s="16"/>
      <c r="G267" s="16"/>
      <c r="H267" s="16"/>
      <c r="I267" s="16"/>
      <c r="J267" s="16"/>
      <c r="K267"/>
      <c r="L267"/>
      <c r="M267"/>
      <c r="N267"/>
    </row>
    <row r="268" spans="1:14" x14ac:dyDescent="0.25">
      <c r="A268" s="13"/>
      <c r="B268" s="16"/>
      <c r="C268" s="13"/>
      <c r="D268" s="16"/>
      <c r="E268" s="16"/>
      <c r="F268" s="16"/>
      <c r="G268" s="16"/>
      <c r="H268" s="16"/>
      <c r="I268" s="16"/>
      <c r="J268" s="16"/>
      <c r="K268"/>
      <c r="L268"/>
      <c r="M268"/>
      <c r="N268"/>
    </row>
    <row r="269" spans="1:14" x14ac:dyDescent="0.25">
      <c r="A269" s="13"/>
      <c r="B269" s="16"/>
      <c r="C269" s="13"/>
      <c r="D269" s="16"/>
      <c r="E269" s="16"/>
      <c r="F269" s="16"/>
      <c r="G269" s="16"/>
      <c r="H269" s="16"/>
      <c r="I269" s="16"/>
      <c r="J269" s="16"/>
      <c r="K269"/>
      <c r="L269"/>
      <c r="M269"/>
      <c r="N269"/>
    </row>
    <row r="270" spans="1:14" x14ac:dyDescent="0.25">
      <c r="A270" s="13"/>
      <c r="B270" s="16"/>
      <c r="C270" s="13"/>
      <c r="D270" s="16"/>
      <c r="E270" s="16"/>
      <c r="F270" s="16"/>
      <c r="G270" s="16"/>
      <c r="H270" s="16"/>
      <c r="I270" s="16"/>
      <c r="J270" s="16"/>
      <c r="K270"/>
      <c r="L270"/>
      <c r="M270"/>
      <c r="N270"/>
    </row>
    <row r="271" spans="1:14" x14ac:dyDescent="0.25">
      <c r="A271" s="13"/>
      <c r="B271" s="16"/>
      <c r="C271" s="13"/>
      <c r="D271" s="16"/>
      <c r="E271" s="16"/>
      <c r="F271" s="16"/>
      <c r="G271" s="16"/>
      <c r="H271" s="16"/>
      <c r="I271" s="16"/>
      <c r="J271" s="16"/>
      <c r="K271"/>
      <c r="L271"/>
      <c r="M271"/>
      <c r="N271"/>
    </row>
    <row r="272" spans="1:14" x14ac:dyDescent="0.25">
      <c r="A272" s="13"/>
      <c r="B272" s="16"/>
      <c r="C272" s="13"/>
      <c r="D272" s="16"/>
      <c r="E272" s="16"/>
      <c r="F272" s="16"/>
      <c r="G272" s="16"/>
      <c r="H272" s="16"/>
      <c r="I272" s="16"/>
      <c r="J272" s="16"/>
      <c r="K272"/>
      <c r="L272"/>
      <c r="M272"/>
      <c r="N272"/>
    </row>
    <row r="273" spans="1:14" x14ac:dyDescent="0.25">
      <c r="A273" s="13"/>
      <c r="B273" s="16"/>
      <c r="C273" s="13"/>
      <c r="D273" s="16"/>
      <c r="E273" s="16"/>
      <c r="F273" s="16"/>
      <c r="G273" s="16"/>
      <c r="H273" s="16"/>
      <c r="I273" s="16"/>
      <c r="J273" s="16"/>
      <c r="K273"/>
      <c r="L273"/>
      <c r="M273"/>
      <c r="N273"/>
    </row>
    <row r="274" spans="1:14" x14ac:dyDescent="0.25">
      <c r="A274" s="13"/>
      <c r="B274" s="16"/>
      <c r="C274" s="13"/>
      <c r="D274" s="16"/>
      <c r="E274" s="16"/>
      <c r="F274" s="16"/>
      <c r="G274" s="16"/>
      <c r="H274" s="16"/>
      <c r="I274" s="16"/>
      <c r="J274" s="16"/>
      <c r="K274"/>
      <c r="L274"/>
      <c r="M274"/>
      <c r="N274"/>
    </row>
    <row r="275" spans="1:14" x14ac:dyDescent="0.25">
      <c r="A275" s="13"/>
      <c r="B275" s="16"/>
      <c r="C275" s="13"/>
      <c r="D275" s="16"/>
      <c r="E275" s="16"/>
      <c r="F275" s="16"/>
      <c r="G275" s="16"/>
      <c r="H275" s="16"/>
      <c r="I275" s="16"/>
      <c r="J275" s="16"/>
      <c r="K275"/>
      <c r="L275"/>
      <c r="M275"/>
      <c r="N275"/>
    </row>
    <row r="276" spans="1:14" x14ac:dyDescent="0.25">
      <c r="A276" s="13"/>
      <c r="B276" s="16"/>
      <c r="C276" s="13"/>
      <c r="D276" s="16"/>
      <c r="E276" s="16"/>
      <c r="F276" s="16"/>
      <c r="G276" s="16"/>
      <c r="H276" s="16"/>
      <c r="I276" s="16"/>
      <c r="J276" s="16"/>
      <c r="K276"/>
      <c r="L276"/>
      <c r="M276"/>
      <c r="N276"/>
    </row>
    <row r="277" spans="1:14" x14ac:dyDescent="0.25">
      <c r="A277" s="13"/>
      <c r="B277" s="16"/>
      <c r="C277" s="13"/>
      <c r="D277" s="16"/>
      <c r="E277" s="16"/>
      <c r="F277" s="16"/>
      <c r="G277" s="16"/>
      <c r="H277" s="16"/>
      <c r="I277" s="16"/>
      <c r="J277" s="16"/>
      <c r="K277"/>
      <c r="L277"/>
      <c r="M277"/>
      <c r="N277"/>
    </row>
    <row r="278" spans="1:14" x14ac:dyDescent="0.25">
      <c r="A278" s="13"/>
      <c r="B278" s="16"/>
      <c r="C278" s="13"/>
      <c r="D278" s="16"/>
      <c r="E278" s="16"/>
      <c r="F278" s="16"/>
      <c r="G278" s="16"/>
      <c r="H278" s="16"/>
      <c r="I278" s="16"/>
      <c r="J278" s="16"/>
      <c r="K278"/>
      <c r="L278"/>
      <c r="M278"/>
      <c r="N278"/>
    </row>
    <row r="279" spans="1:14" x14ac:dyDescent="0.25">
      <c r="A279" s="13"/>
      <c r="B279" s="16"/>
      <c r="C279" s="13"/>
      <c r="D279" s="16"/>
      <c r="E279" s="16"/>
      <c r="F279" s="16"/>
      <c r="G279" s="16"/>
      <c r="H279" s="16"/>
      <c r="I279" s="16"/>
      <c r="J279" s="16"/>
      <c r="K279"/>
      <c r="L279"/>
      <c r="M279"/>
      <c r="N279"/>
    </row>
    <row r="280" spans="1:14" x14ac:dyDescent="0.25">
      <c r="A280" s="13"/>
      <c r="B280" s="16"/>
      <c r="C280" s="13"/>
      <c r="D280" s="16"/>
      <c r="E280" s="16"/>
      <c r="F280" s="16"/>
      <c r="G280" s="16"/>
      <c r="H280" s="16"/>
      <c r="I280" s="16"/>
      <c r="J280" s="16"/>
      <c r="K280"/>
      <c r="L280"/>
      <c r="M280"/>
      <c r="N280"/>
    </row>
    <row r="281" spans="1:14" x14ac:dyDescent="0.25">
      <c r="A281" s="13"/>
      <c r="B281" s="16"/>
      <c r="C281" s="13"/>
      <c r="D281" s="16"/>
      <c r="E281" s="16"/>
      <c r="F281" s="16"/>
      <c r="G281" s="16"/>
      <c r="H281" s="16"/>
      <c r="I281" s="16"/>
      <c r="J281" s="16"/>
      <c r="K281"/>
      <c r="L281"/>
      <c r="M281"/>
      <c r="N281"/>
    </row>
    <row r="282" spans="1:14" x14ac:dyDescent="0.25">
      <c r="A282" s="13"/>
      <c r="B282" s="16"/>
      <c r="C282" s="13"/>
      <c r="D282" s="16"/>
      <c r="E282" s="16"/>
      <c r="F282" s="16"/>
      <c r="G282" s="16"/>
      <c r="H282" s="16"/>
      <c r="I282" s="16"/>
      <c r="J282" s="16"/>
      <c r="K282"/>
      <c r="L282"/>
      <c r="M282"/>
      <c r="N282"/>
    </row>
    <row r="283" spans="1:14" x14ac:dyDescent="0.25">
      <c r="A283" s="13"/>
      <c r="B283" s="16"/>
      <c r="C283" s="13"/>
      <c r="D283" s="16"/>
      <c r="E283" s="16"/>
      <c r="F283" s="16"/>
      <c r="G283" s="16"/>
      <c r="H283" s="16"/>
      <c r="I283" s="16"/>
      <c r="J283" s="16"/>
      <c r="K283"/>
      <c r="L283"/>
      <c r="M283"/>
      <c r="N283"/>
    </row>
    <row r="284" spans="1:14" x14ac:dyDescent="0.25">
      <c r="A284" s="13"/>
      <c r="B284" s="16"/>
      <c r="C284" s="13"/>
      <c r="D284" s="16"/>
      <c r="E284" s="16"/>
      <c r="F284" s="16"/>
      <c r="G284" s="16"/>
      <c r="H284" s="16"/>
      <c r="I284" s="16"/>
      <c r="J284" s="16"/>
      <c r="K284"/>
      <c r="L284"/>
      <c r="M284"/>
      <c r="N284"/>
    </row>
    <row r="285" spans="1:14" x14ac:dyDescent="0.25">
      <c r="A285" s="13"/>
      <c r="B285" s="16"/>
      <c r="C285" s="13"/>
      <c r="D285" s="16"/>
      <c r="E285" s="16"/>
      <c r="F285" s="16"/>
      <c r="G285" s="16"/>
      <c r="H285" s="16"/>
      <c r="I285" s="16"/>
      <c r="J285" s="16"/>
      <c r="K285"/>
      <c r="L285"/>
      <c r="M285"/>
      <c r="N285"/>
    </row>
    <row r="286" spans="1:14" x14ac:dyDescent="0.25">
      <c r="A286" s="13"/>
      <c r="B286" s="16"/>
      <c r="C286" s="13"/>
      <c r="D286" s="16"/>
      <c r="E286" s="16"/>
      <c r="F286" s="16"/>
      <c r="G286" s="16"/>
      <c r="H286" s="16"/>
      <c r="I286" s="16"/>
      <c r="J286" s="16"/>
      <c r="K286"/>
      <c r="L286"/>
      <c r="M286"/>
      <c r="N286"/>
    </row>
    <row r="287" spans="1:14" x14ac:dyDescent="0.25">
      <c r="A287" s="13"/>
      <c r="B287" s="16"/>
      <c r="C287" s="13"/>
      <c r="D287" s="16"/>
      <c r="E287" s="16"/>
      <c r="F287" s="16"/>
      <c r="G287" s="16"/>
      <c r="H287" s="16"/>
      <c r="I287" s="16"/>
      <c r="J287" s="16"/>
      <c r="K287"/>
      <c r="L287"/>
      <c r="M287"/>
      <c r="N287"/>
    </row>
    <row r="288" spans="1:14" x14ac:dyDescent="0.25">
      <c r="A288" s="13"/>
      <c r="B288" s="16"/>
      <c r="C288" s="13"/>
      <c r="D288" s="16"/>
      <c r="E288" s="16"/>
      <c r="F288" s="16"/>
      <c r="G288" s="16"/>
      <c r="H288" s="16"/>
      <c r="I288" s="16"/>
      <c r="J288" s="16"/>
      <c r="K288"/>
      <c r="L288"/>
      <c r="M288"/>
      <c r="N288"/>
    </row>
    <row r="289" spans="1:14" x14ac:dyDescent="0.25">
      <c r="A289" s="13"/>
      <c r="B289" s="16"/>
      <c r="C289" s="13"/>
      <c r="D289" s="16"/>
      <c r="E289" s="16"/>
      <c r="F289" s="16"/>
      <c r="G289" s="16"/>
      <c r="H289" s="16"/>
      <c r="I289" s="16"/>
      <c r="J289" s="16"/>
      <c r="K289"/>
      <c r="L289"/>
      <c r="M289"/>
      <c r="N289"/>
    </row>
    <row r="290" spans="1:14" x14ac:dyDescent="0.25">
      <c r="A290" s="13"/>
      <c r="B290" s="16"/>
      <c r="C290" s="13"/>
      <c r="D290" s="16"/>
      <c r="E290" s="16"/>
      <c r="F290" s="16"/>
      <c r="G290" s="16"/>
      <c r="H290" s="16"/>
      <c r="I290" s="16"/>
      <c r="J290" s="16"/>
      <c r="K290"/>
      <c r="L290"/>
      <c r="M290"/>
      <c r="N290"/>
    </row>
    <row r="291" spans="1:14" x14ac:dyDescent="0.25">
      <c r="A291" s="13"/>
      <c r="B291" s="16"/>
      <c r="C291" s="13"/>
      <c r="D291" s="16"/>
      <c r="E291" s="16"/>
      <c r="F291" s="16"/>
      <c r="G291" s="16"/>
      <c r="H291" s="16"/>
      <c r="I291" s="16"/>
      <c r="J291" s="16"/>
      <c r="K291"/>
      <c r="L291"/>
      <c r="M291"/>
      <c r="N291"/>
    </row>
    <row r="292" spans="1:14" x14ac:dyDescent="0.25">
      <c r="A292" s="13"/>
      <c r="B292" s="16"/>
      <c r="C292" s="13"/>
      <c r="D292" s="16"/>
      <c r="E292" s="16"/>
      <c r="F292" s="16"/>
      <c r="G292" s="16"/>
      <c r="H292" s="16"/>
      <c r="I292" s="16"/>
      <c r="J292" s="16"/>
      <c r="K292"/>
      <c r="L292"/>
      <c r="M292"/>
      <c r="N292"/>
    </row>
    <row r="293" spans="1:14" x14ac:dyDescent="0.25">
      <c r="A293" s="13"/>
      <c r="B293" s="16"/>
      <c r="C293" s="13"/>
      <c r="D293" s="16"/>
      <c r="E293" s="16"/>
      <c r="F293" s="16"/>
      <c r="G293" s="16"/>
      <c r="H293" s="16"/>
      <c r="I293" s="16"/>
      <c r="J293" s="16"/>
      <c r="K293"/>
      <c r="L293"/>
      <c r="M293"/>
      <c r="N293"/>
    </row>
    <row r="294" spans="1:14" x14ac:dyDescent="0.25">
      <c r="A294" s="13"/>
      <c r="B294" s="16"/>
      <c r="C294" s="13"/>
      <c r="D294" s="16"/>
      <c r="E294" s="16"/>
      <c r="F294" s="16"/>
      <c r="G294" s="16"/>
      <c r="H294" s="16"/>
      <c r="I294" s="16"/>
      <c r="J294" s="16"/>
      <c r="K294"/>
      <c r="L294"/>
      <c r="M294"/>
      <c r="N294"/>
    </row>
    <row r="295" spans="1:14" x14ac:dyDescent="0.25">
      <c r="A295" s="13"/>
      <c r="B295" s="16"/>
      <c r="C295" s="13"/>
      <c r="D295" s="16"/>
      <c r="E295" s="16"/>
      <c r="F295" s="16"/>
      <c r="G295" s="16"/>
      <c r="H295" s="16"/>
      <c r="I295" s="16"/>
      <c r="J295" s="16"/>
      <c r="K295"/>
      <c r="L295"/>
      <c r="M295"/>
      <c r="N295"/>
    </row>
    <row r="296" spans="1:14" x14ac:dyDescent="0.25">
      <c r="A296" s="13"/>
      <c r="B296" s="16"/>
      <c r="C296" s="13"/>
      <c r="D296" s="16"/>
      <c r="E296" s="16"/>
      <c r="F296" s="16"/>
      <c r="G296" s="16"/>
      <c r="H296" s="16"/>
      <c r="I296" s="16"/>
      <c r="J296" s="16"/>
      <c r="K296"/>
      <c r="L296"/>
      <c r="M296"/>
      <c r="N296"/>
    </row>
    <row r="297" spans="1:14" x14ac:dyDescent="0.25">
      <c r="A297" s="13"/>
      <c r="B297" s="16"/>
      <c r="C297" s="13"/>
      <c r="D297" s="16"/>
      <c r="E297" s="16"/>
      <c r="F297" s="16"/>
      <c r="G297" s="16"/>
      <c r="H297" s="16"/>
      <c r="I297" s="16"/>
      <c r="J297" s="16"/>
      <c r="K297"/>
      <c r="L297"/>
      <c r="M297"/>
      <c r="N297"/>
    </row>
    <row r="298" spans="1:14" x14ac:dyDescent="0.25">
      <c r="A298" s="13"/>
      <c r="B298" s="16"/>
      <c r="C298" s="13"/>
      <c r="D298" s="16"/>
      <c r="E298" s="16"/>
      <c r="F298" s="16"/>
      <c r="G298" s="16"/>
      <c r="H298" s="16"/>
      <c r="I298" s="16"/>
      <c r="J298" s="16"/>
      <c r="K298"/>
      <c r="L298"/>
      <c r="M298"/>
      <c r="N298"/>
    </row>
    <row r="299" spans="1:14" x14ac:dyDescent="0.25">
      <c r="A299" s="13"/>
      <c r="B299" s="16"/>
      <c r="C299" s="13"/>
      <c r="D299" s="16"/>
      <c r="E299" s="16"/>
      <c r="F299" s="16"/>
      <c r="G299" s="16"/>
      <c r="H299" s="16"/>
      <c r="I299" s="16"/>
      <c r="J299" s="16"/>
      <c r="K299"/>
      <c r="L299"/>
      <c r="M299"/>
      <c r="N299"/>
    </row>
    <row r="300" spans="1:14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</row>
    <row r="301" spans="1:14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</row>
    <row r="302" spans="1:14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</row>
    <row r="303" spans="1:14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</row>
    <row r="304" spans="1:14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</row>
    <row r="305" spans="1:14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</row>
    <row r="306" spans="1:14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</row>
    <row r="307" spans="1:14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</row>
    <row r="308" spans="1:14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</row>
    <row r="309" spans="1:14" x14ac:dyDescent="0.25">
      <c r="A309"/>
      <c r="B309"/>
      <c r="C309"/>
      <c r="D309"/>
      <c r="E309"/>
      <c r="F309"/>
      <c r="G309"/>
      <c r="H309"/>
      <c r="I309"/>
      <c r="J309"/>
      <c r="K309" t="s">
        <v>22</v>
      </c>
      <c r="L309"/>
      <c r="M309"/>
      <c r="N309"/>
    </row>
    <row r="310" spans="1:14" x14ac:dyDescent="0.25">
      <c r="A310"/>
      <c r="B310"/>
      <c r="C310"/>
      <c r="D310"/>
      <c r="E310"/>
      <c r="F310"/>
      <c r="G310"/>
      <c r="H310"/>
      <c r="I310"/>
      <c r="J310"/>
      <c r="K310" t="s">
        <v>22</v>
      </c>
      <c r="L310"/>
      <c r="M310"/>
      <c r="N310"/>
    </row>
    <row r="311" spans="1:14" x14ac:dyDescent="0.25">
      <c r="A311"/>
      <c r="B311"/>
      <c r="C311"/>
      <c r="D311"/>
      <c r="E311"/>
      <c r="F311"/>
      <c r="G311"/>
      <c r="H311"/>
      <c r="I311"/>
      <c r="J311"/>
      <c r="K311" t="s">
        <v>22</v>
      </c>
      <c r="L311"/>
      <c r="M311"/>
      <c r="N311"/>
    </row>
    <row r="312" spans="1:14" x14ac:dyDescent="0.25">
      <c r="A312"/>
      <c r="B312"/>
      <c r="C312"/>
      <c r="D312"/>
      <c r="E312"/>
      <c r="F312"/>
      <c r="G312"/>
      <c r="H312"/>
      <c r="I312"/>
      <c r="J312"/>
      <c r="K312" t="s">
        <v>22</v>
      </c>
      <c r="L312"/>
      <c r="M312"/>
      <c r="N312"/>
    </row>
    <row r="313" spans="1:14" x14ac:dyDescent="0.25">
      <c r="A313"/>
      <c r="B313"/>
      <c r="C313"/>
      <c r="D313"/>
      <c r="E313"/>
      <c r="F313"/>
      <c r="G313"/>
      <c r="H313"/>
      <c r="I313"/>
      <c r="J313"/>
      <c r="K313" t="s">
        <v>22</v>
      </c>
      <c r="L313"/>
      <c r="M313"/>
      <c r="N313"/>
    </row>
    <row r="314" spans="1:14" x14ac:dyDescent="0.25">
      <c r="A314"/>
      <c r="B314"/>
      <c r="C314"/>
      <c r="D314"/>
      <c r="E314"/>
      <c r="F314"/>
      <c r="G314"/>
      <c r="H314"/>
      <c r="I314"/>
      <c r="J314"/>
      <c r="K314" t="s">
        <v>22</v>
      </c>
      <c r="L314"/>
      <c r="M314"/>
      <c r="N314"/>
    </row>
    <row r="315" spans="1:14" x14ac:dyDescent="0.25">
      <c r="A315"/>
      <c r="B315"/>
      <c r="C315"/>
      <c r="D315"/>
      <c r="E315"/>
      <c r="F315"/>
      <c r="G315"/>
      <c r="H315"/>
      <c r="I315"/>
      <c r="J315"/>
      <c r="K315" t="s">
        <v>22</v>
      </c>
      <c r="L315"/>
      <c r="M315"/>
      <c r="N315"/>
    </row>
    <row r="316" spans="1:14" x14ac:dyDescent="0.25">
      <c r="A316"/>
      <c r="B316"/>
      <c r="C316"/>
      <c r="D316"/>
      <c r="E316"/>
      <c r="F316"/>
      <c r="G316"/>
      <c r="H316"/>
      <c r="I316"/>
      <c r="J316"/>
      <c r="K316" t="s">
        <v>22</v>
      </c>
      <c r="L316"/>
      <c r="M316"/>
      <c r="N316"/>
    </row>
    <row r="317" spans="1:14" x14ac:dyDescent="0.25">
      <c r="A317"/>
      <c r="B317"/>
      <c r="C317"/>
      <c r="D317"/>
      <c r="E317"/>
      <c r="F317"/>
      <c r="G317"/>
      <c r="H317"/>
      <c r="I317"/>
      <c r="J317"/>
      <c r="K317" t="s">
        <v>22</v>
      </c>
      <c r="L317"/>
      <c r="M317"/>
      <c r="N317"/>
    </row>
    <row r="318" spans="1:14" x14ac:dyDescent="0.25">
      <c r="A318"/>
      <c r="B318"/>
      <c r="C318"/>
      <c r="D318"/>
      <c r="E318"/>
      <c r="F318"/>
      <c r="G318"/>
      <c r="H318"/>
      <c r="I318"/>
      <c r="J318"/>
      <c r="K318" t="s">
        <v>22</v>
      </c>
      <c r="L318"/>
      <c r="M318"/>
      <c r="N318"/>
    </row>
    <row r="319" spans="1:14" x14ac:dyDescent="0.25">
      <c r="A319"/>
      <c r="B319"/>
      <c r="C319"/>
      <c r="D319"/>
      <c r="E319"/>
      <c r="F319"/>
      <c r="G319"/>
      <c r="H319"/>
      <c r="I319"/>
      <c r="J319"/>
      <c r="K319" t="s">
        <v>22</v>
      </c>
      <c r="L319"/>
      <c r="M319"/>
      <c r="N319"/>
    </row>
    <row r="320" spans="1:14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</row>
    <row r="321" spans="1:14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</row>
    <row r="322" spans="1:14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</row>
    <row r="323" spans="1:14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</row>
    <row r="324" spans="1:14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</row>
    <row r="325" spans="1:14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</row>
    <row r="326" spans="1:14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</row>
    <row r="327" spans="1:14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</row>
    <row r="328" spans="1:14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</row>
    <row r="329" spans="1:14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</row>
    <row r="330" spans="1:14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</row>
    <row r="331" spans="1:14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</row>
    <row r="332" spans="1:14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</row>
    <row r="333" spans="1:14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</row>
    <row r="334" spans="1:14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</row>
    <row r="335" spans="1:14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</row>
    <row r="336" spans="1:14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</row>
    <row r="337" spans="1:14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</row>
    <row r="338" spans="1:14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</row>
    <row r="339" spans="1:14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</row>
    <row r="340" spans="1:14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</row>
    <row r="341" spans="1:14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</row>
    <row r="342" spans="1:14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</row>
    <row r="343" spans="1:14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</row>
    <row r="344" spans="1:14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</row>
    <row r="345" spans="1:14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</row>
    <row r="346" spans="1:14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</row>
    <row r="347" spans="1:14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</row>
    <row r="348" spans="1:14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</row>
    <row r="349" spans="1:14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</row>
    <row r="350" spans="1:14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</row>
    <row r="351" spans="1:14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</row>
    <row r="352" spans="1:14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</row>
    <row r="353" spans="1:14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</row>
    <row r="354" spans="1:14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</row>
    <row r="355" spans="1:14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</row>
    <row r="356" spans="1:14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</row>
    <row r="357" spans="1:14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</row>
    <row r="358" spans="1:14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</row>
    <row r="359" spans="1:14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</row>
    <row r="360" spans="1:14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</row>
    <row r="361" spans="1:14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</row>
    <row r="362" spans="1:14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</row>
    <row r="363" spans="1:14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</row>
    <row r="364" spans="1:14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</row>
    <row r="365" spans="1:14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</row>
    <row r="366" spans="1:14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</row>
    <row r="367" spans="1:14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</row>
    <row r="368" spans="1:14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</row>
    <row r="369" spans="1:14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</row>
    <row r="370" spans="1:14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</row>
    <row r="371" spans="1:14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</row>
    <row r="372" spans="1:14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</row>
    <row r="373" spans="1:14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</row>
    <row r="374" spans="1:14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</row>
    <row r="375" spans="1:14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</row>
    <row r="376" spans="1:14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</row>
    <row r="377" spans="1:14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</row>
    <row r="378" spans="1:14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</row>
    <row r="379" spans="1:14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</row>
    <row r="380" spans="1:14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</row>
    <row r="381" spans="1:14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</row>
    <row r="382" spans="1:14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</row>
    <row r="383" spans="1:14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</row>
    <row r="384" spans="1:14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</row>
    <row r="385" spans="1:14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</row>
    <row r="386" spans="1:14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</row>
    <row r="387" spans="1:14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</row>
    <row r="388" spans="1:14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</row>
    <row r="389" spans="1:14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</row>
    <row r="390" spans="1:14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</row>
    <row r="391" spans="1:14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</row>
    <row r="392" spans="1:14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</row>
    <row r="393" spans="1:14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</row>
    <row r="394" spans="1:14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</row>
    <row r="395" spans="1:14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</row>
    <row r="396" spans="1:14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</row>
    <row r="397" spans="1:14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</row>
    <row r="398" spans="1:14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</row>
    <row r="399" spans="1:14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</row>
    <row r="400" spans="1:14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</row>
    <row r="401" spans="1:14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</row>
    <row r="402" spans="1:14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</row>
    <row r="403" spans="1:14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</row>
    <row r="404" spans="1:14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</row>
    <row r="405" spans="1:14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</row>
    <row r="406" spans="1:14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</row>
    <row r="407" spans="1:14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</row>
    <row r="408" spans="1:14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</row>
    <row r="409" spans="1:14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</row>
    <row r="410" spans="1:14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</row>
    <row r="411" spans="1:14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</row>
    <row r="412" spans="1:14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</row>
    <row r="413" spans="1:14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</row>
    <row r="414" spans="1:14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</row>
    <row r="415" spans="1:14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</row>
    <row r="416" spans="1:14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</row>
    <row r="417" spans="1:14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</row>
    <row r="418" spans="1:14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</row>
    <row r="419" spans="1:14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</row>
    <row r="420" spans="1:14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</row>
    <row r="421" spans="1:14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</row>
    <row r="422" spans="1:14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</row>
    <row r="423" spans="1:14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</row>
    <row r="424" spans="1:14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</row>
    <row r="425" spans="1:14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</row>
    <row r="426" spans="1:14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</row>
    <row r="427" spans="1:14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</row>
    <row r="428" spans="1:14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</row>
    <row r="429" spans="1:14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</row>
    <row r="430" spans="1:14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</row>
    <row r="431" spans="1:14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</row>
    <row r="432" spans="1:14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</row>
    <row r="433" spans="1:14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</row>
    <row r="434" spans="1:14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</row>
    <row r="435" spans="1:14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</row>
    <row r="436" spans="1:14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</row>
    <row r="437" spans="1:14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</row>
    <row r="438" spans="1:14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</row>
    <row r="439" spans="1:14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</row>
    <row r="440" spans="1:14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</row>
    <row r="441" spans="1:14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</row>
    <row r="442" spans="1:14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</row>
    <row r="443" spans="1:14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</row>
    <row r="444" spans="1:14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</row>
    <row r="445" spans="1:14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</row>
    <row r="446" spans="1:14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</row>
    <row r="447" spans="1:14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</row>
    <row r="448" spans="1:14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</row>
    <row r="449" spans="1:14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</row>
    <row r="450" spans="1:14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</row>
    <row r="451" spans="1:14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</row>
    <row r="452" spans="1:14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</row>
    <row r="453" spans="1:14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</row>
    <row r="454" spans="1:14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</row>
    <row r="455" spans="1:14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</row>
    <row r="456" spans="1:14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</row>
    <row r="457" spans="1:14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</row>
    <row r="458" spans="1:14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</row>
    <row r="459" spans="1:14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</row>
    <row r="460" spans="1:14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</row>
    <row r="461" spans="1:14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</row>
    <row r="462" spans="1:14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</row>
    <row r="463" spans="1:14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</row>
    <row r="464" spans="1:14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</row>
    <row r="465" spans="1:14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</row>
    <row r="466" spans="1:14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</row>
    <row r="467" spans="1:14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</row>
    <row r="468" spans="1:14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</row>
    <row r="469" spans="1:14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</row>
    <row r="470" spans="1:14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</row>
    <row r="471" spans="1:14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</row>
    <row r="472" spans="1:14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</row>
    <row r="473" spans="1:14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</row>
    <row r="474" spans="1:14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</row>
    <row r="475" spans="1:14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</row>
    <row r="476" spans="1:14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</row>
    <row r="477" spans="1:14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</row>
    <row r="478" spans="1:14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</row>
    <row r="479" spans="1:14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</row>
    <row r="480" spans="1:14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</row>
    <row r="481" spans="1:14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</row>
    <row r="482" spans="1:14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</row>
    <row r="483" spans="1:14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</row>
    <row r="484" spans="1:14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</row>
    <row r="485" spans="1:14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</row>
    <row r="486" spans="1:14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</row>
    <row r="487" spans="1:14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</row>
    <row r="488" spans="1:14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</row>
    <row r="489" spans="1:14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</row>
    <row r="490" spans="1:14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</row>
    <row r="491" spans="1:14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</row>
    <row r="492" spans="1:14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</row>
    <row r="493" spans="1:14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</row>
    <row r="494" spans="1:14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</row>
    <row r="495" spans="1:14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</row>
    <row r="496" spans="1:14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</row>
    <row r="497" spans="1:14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</row>
    <row r="498" spans="1:14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</row>
    <row r="499" spans="1:14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</row>
    <row r="500" spans="1:14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</row>
    <row r="501" spans="1:14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</row>
    <row r="502" spans="1:14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</row>
    <row r="503" spans="1:14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</row>
    <row r="504" spans="1:14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</row>
    <row r="505" spans="1:14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</row>
    <row r="506" spans="1:14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</row>
    <row r="507" spans="1:14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</row>
    <row r="508" spans="1:14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</row>
    <row r="509" spans="1:14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</row>
    <row r="510" spans="1:14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</row>
    <row r="511" spans="1:14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</row>
    <row r="512" spans="1:14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</row>
    <row r="513" spans="1:14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</row>
    <row r="514" spans="1:14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</row>
    <row r="515" spans="1:14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</row>
    <row r="516" spans="1:14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</row>
    <row r="517" spans="1:14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</row>
    <row r="518" spans="1:14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</row>
    <row r="519" spans="1:14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</row>
    <row r="520" spans="1:14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</row>
    <row r="521" spans="1:14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</row>
    <row r="522" spans="1:14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</row>
    <row r="523" spans="1:14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</row>
    <row r="524" spans="1:14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</row>
    <row r="525" spans="1:14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</row>
    <row r="526" spans="1:14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</row>
    <row r="527" spans="1:14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</row>
    <row r="528" spans="1:14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</row>
    <row r="529" spans="1:14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</row>
    <row r="530" spans="1:14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</row>
    <row r="531" spans="1:14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</row>
    <row r="532" spans="1:14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</row>
    <row r="533" spans="1:14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</row>
    <row r="534" spans="1:14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</row>
    <row r="535" spans="1:14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</row>
    <row r="536" spans="1:14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</row>
    <row r="537" spans="1:14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</row>
    <row r="538" spans="1:14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</row>
    <row r="539" spans="1:14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</row>
    <row r="540" spans="1:14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</row>
    <row r="541" spans="1:14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</row>
    <row r="542" spans="1:14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</row>
    <row r="543" spans="1:14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</row>
    <row r="544" spans="1:14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</row>
    <row r="545" spans="1:14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</row>
    <row r="546" spans="1:14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</row>
    <row r="547" spans="1:14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</row>
    <row r="548" spans="1:14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</row>
    <row r="549" spans="1:14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</row>
    <row r="550" spans="1:14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</row>
    <row r="551" spans="1:14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</row>
    <row r="552" spans="1:14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</row>
    <row r="553" spans="1:14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</row>
    <row r="554" spans="1:14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</row>
    <row r="555" spans="1:14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</row>
    <row r="556" spans="1:14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</row>
    <row r="557" spans="1:14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</row>
    <row r="558" spans="1:14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</row>
    <row r="559" spans="1:14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</row>
    <row r="560" spans="1:14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</row>
    <row r="561" spans="1:14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</row>
    <row r="562" spans="1:14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</row>
    <row r="563" spans="1:14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</row>
    <row r="564" spans="1:14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</row>
    <row r="565" spans="1:14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</row>
    <row r="566" spans="1:14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</row>
    <row r="567" spans="1:14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</row>
    <row r="568" spans="1:14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</row>
    <row r="569" spans="1:14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</row>
    <row r="570" spans="1:14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</row>
    <row r="571" spans="1:14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</row>
    <row r="572" spans="1:14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</row>
    <row r="573" spans="1:14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</row>
    <row r="574" spans="1:14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</row>
    <row r="575" spans="1:14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</row>
    <row r="576" spans="1:14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</row>
    <row r="577" spans="1:14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</row>
    <row r="578" spans="1:14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</row>
    <row r="579" spans="1:14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</row>
    <row r="580" spans="1:14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</row>
    <row r="581" spans="1:14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</row>
    <row r="582" spans="1:14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</row>
    <row r="583" spans="1:14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</row>
    <row r="584" spans="1:14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</row>
    <row r="585" spans="1:14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</row>
    <row r="586" spans="1:14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</row>
    <row r="587" spans="1:14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</row>
    <row r="588" spans="1:14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</row>
    <row r="589" spans="1:14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</row>
    <row r="590" spans="1:14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</row>
    <row r="591" spans="1:14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</row>
    <row r="592" spans="1:14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</row>
    <row r="593" spans="1:14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</row>
    <row r="594" spans="1:14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</row>
    <row r="595" spans="1:14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</row>
    <row r="596" spans="1:14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</row>
    <row r="597" spans="1:14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</row>
    <row r="598" spans="1:14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</row>
    <row r="599" spans="1:14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</row>
    <row r="600" spans="1:14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</row>
    <row r="601" spans="1:14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</row>
    <row r="602" spans="1:14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</row>
    <row r="603" spans="1:14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</row>
    <row r="604" spans="1:14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</row>
    <row r="605" spans="1:14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</row>
    <row r="606" spans="1:14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</row>
    <row r="607" spans="1:14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</row>
    <row r="608" spans="1:14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</row>
    <row r="609" spans="1:14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</row>
    <row r="610" spans="1:14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</row>
    <row r="611" spans="1:14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</row>
    <row r="612" spans="1:14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</row>
    <row r="613" spans="1:14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</row>
    <row r="614" spans="1:14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</row>
    <row r="615" spans="1:14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</row>
    <row r="616" spans="1:14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</row>
    <row r="617" spans="1:14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</row>
    <row r="618" spans="1:14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</row>
    <row r="619" spans="1:14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</row>
    <row r="620" spans="1:14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</row>
    <row r="621" spans="1:14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</row>
    <row r="622" spans="1:14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</row>
    <row r="623" spans="1:14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</row>
    <row r="624" spans="1:14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</row>
    <row r="625" spans="1:14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</row>
    <row r="626" spans="1:14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</row>
    <row r="627" spans="1:14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</row>
    <row r="628" spans="1:14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</row>
    <row r="629" spans="1:14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</row>
    <row r="630" spans="1:14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</row>
    <row r="631" spans="1:14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</row>
    <row r="632" spans="1:14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</row>
    <row r="633" spans="1:14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</row>
    <row r="634" spans="1:14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</row>
    <row r="635" spans="1:14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</row>
    <row r="636" spans="1:14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</row>
    <row r="637" spans="1:14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</row>
    <row r="638" spans="1:14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</row>
    <row r="639" spans="1:14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</row>
    <row r="640" spans="1:14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</row>
    <row r="641" spans="1:14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</row>
    <row r="642" spans="1:14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</row>
    <row r="643" spans="1:14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</row>
    <row r="644" spans="1:14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</row>
    <row r="645" spans="1:14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</row>
    <row r="646" spans="1:14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</row>
    <row r="647" spans="1:14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</row>
    <row r="648" spans="1:14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</row>
    <row r="649" spans="1:14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</row>
    <row r="650" spans="1:14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</row>
    <row r="651" spans="1:14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</row>
    <row r="652" spans="1:14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</row>
    <row r="653" spans="1:14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</row>
    <row r="654" spans="1:14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</row>
    <row r="655" spans="1:14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</row>
    <row r="656" spans="1:14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</row>
    <row r="657" spans="1:14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</row>
    <row r="658" spans="1:14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</row>
    <row r="659" spans="1:14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</row>
    <row r="660" spans="1:14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</row>
    <row r="661" spans="1:14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</row>
    <row r="662" spans="1:14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</row>
    <row r="663" spans="1:14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</row>
    <row r="664" spans="1:14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</row>
    <row r="665" spans="1:14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</row>
    <row r="666" spans="1:14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</row>
    <row r="667" spans="1:14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</row>
    <row r="668" spans="1:14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</row>
    <row r="669" spans="1:14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</row>
    <row r="670" spans="1:14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</row>
    <row r="671" spans="1:14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</row>
    <row r="672" spans="1:14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</row>
    <row r="673" spans="1:14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</row>
    <row r="674" spans="1:14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</row>
    <row r="675" spans="1:14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</row>
    <row r="676" spans="1:14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</row>
    <row r="677" spans="1:14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</row>
    <row r="678" spans="1:14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</row>
    <row r="679" spans="1:14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</row>
    <row r="680" spans="1:14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</row>
    <row r="681" spans="1:14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</row>
    <row r="682" spans="1:14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</row>
    <row r="683" spans="1:14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</row>
    <row r="684" spans="1:14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</row>
    <row r="685" spans="1:14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</row>
    <row r="686" spans="1:14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</row>
    <row r="687" spans="1:14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</row>
    <row r="688" spans="1:14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</row>
    <row r="689" spans="1:14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</row>
    <row r="690" spans="1:14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</row>
    <row r="691" spans="1:14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</row>
    <row r="692" spans="1:14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</row>
    <row r="693" spans="1:14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</row>
    <row r="694" spans="1:14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</row>
    <row r="695" spans="1:14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</row>
    <row r="696" spans="1:14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</row>
    <row r="697" spans="1:14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</row>
    <row r="698" spans="1:14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</row>
    <row r="699" spans="1:14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</row>
    <row r="700" spans="1:14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</row>
    <row r="701" spans="1:14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</row>
    <row r="702" spans="1:14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</row>
    <row r="703" spans="1:14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</row>
    <row r="704" spans="1:14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</row>
    <row r="705" spans="1:14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</row>
    <row r="706" spans="1:14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</row>
    <row r="707" spans="1:14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</row>
    <row r="708" spans="1:14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</row>
    <row r="709" spans="1:14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</row>
    <row r="710" spans="1:14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</row>
    <row r="711" spans="1:14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</row>
    <row r="712" spans="1:14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</row>
    <row r="713" spans="1:14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</row>
    <row r="714" spans="1:14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</row>
    <row r="715" spans="1:14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</row>
    <row r="716" spans="1:14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</row>
    <row r="717" spans="1:14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</row>
    <row r="718" spans="1:14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</row>
    <row r="719" spans="1:14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</row>
    <row r="720" spans="1:14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</row>
    <row r="721" spans="1:14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</row>
    <row r="722" spans="1:14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</row>
    <row r="723" spans="1:14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</row>
    <row r="724" spans="1:14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</row>
    <row r="725" spans="1:14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</row>
    <row r="726" spans="1:14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</row>
    <row r="727" spans="1:14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</row>
    <row r="728" spans="1:14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</row>
    <row r="729" spans="1:14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</row>
    <row r="730" spans="1:14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</row>
    <row r="731" spans="1:14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</row>
    <row r="732" spans="1:14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</row>
    <row r="733" spans="1:14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</row>
    <row r="734" spans="1:14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</row>
    <row r="735" spans="1:14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</row>
    <row r="736" spans="1:14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</row>
    <row r="737" spans="1:14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</row>
    <row r="738" spans="1:14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</row>
    <row r="739" spans="1:14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</row>
    <row r="740" spans="1:14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</row>
    <row r="741" spans="1:14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</row>
    <row r="742" spans="1:14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</row>
    <row r="743" spans="1:14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</row>
    <row r="744" spans="1:14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</row>
    <row r="745" spans="1:14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</row>
    <row r="746" spans="1:14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</row>
    <row r="747" spans="1:14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</row>
    <row r="748" spans="1:14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</row>
    <row r="749" spans="1:14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</row>
    <row r="750" spans="1:14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</row>
    <row r="751" spans="1:14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</row>
    <row r="752" spans="1:14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</row>
    <row r="753" spans="1:14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</row>
    <row r="754" spans="1:14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</row>
    <row r="755" spans="1:14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</row>
    <row r="756" spans="1:14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</row>
    <row r="757" spans="1:14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</row>
    <row r="758" spans="1:14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</row>
    <row r="759" spans="1:14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</row>
    <row r="760" spans="1:14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</row>
    <row r="761" spans="1:14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</row>
    <row r="762" spans="1:14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</row>
    <row r="763" spans="1:14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</row>
    <row r="764" spans="1:14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</row>
    <row r="765" spans="1:14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</row>
    <row r="766" spans="1:14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</row>
    <row r="767" spans="1:14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</row>
    <row r="768" spans="1:14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</row>
    <row r="769" spans="1:14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</row>
    <row r="770" spans="1:14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</row>
    <row r="771" spans="1:14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</row>
    <row r="772" spans="1:14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</row>
    <row r="773" spans="1:14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</row>
    <row r="774" spans="1:14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</row>
    <row r="775" spans="1:14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</row>
    <row r="776" spans="1:14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</row>
    <row r="777" spans="1:14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</row>
    <row r="778" spans="1:14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</row>
    <row r="779" spans="1:14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</row>
    <row r="780" spans="1:14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</row>
    <row r="781" spans="1:14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</row>
    <row r="782" spans="1:14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</row>
    <row r="783" spans="1:14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</row>
    <row r="784" spans="1:14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</row>
    <row r="785" spans="1:14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</row>
    <row r="786" spans="1:14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</row>
    <row r="787" spans="1:14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</row>
    <row r="788" spans="1:14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</row>
    <row r="789" spans="1:14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</row>
    <row r="790" spans="1:14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</row>
    <row r="791" spans="1:14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</row>
    <row r="792" spans="1:14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</row>
    <row r="793" spans="1:14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</row>
    <row r="794" spans="1:14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</row>
    <row r="795" spans="1:14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</row>
    <row r="796" spans="1:14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</row>
    <row r="797" spans="1:14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</row>
    <row r="798" spans="1:14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</row>
    <row r="799" spans="1:14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</row>
    <row r="800" spans="1:14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</row>
    <row r="801" spans="1:14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</row>
    <row r="802" spans="1:14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</row>
    <row r="803" spans="1:14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</row>
    <row r="804" spans="1:14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</row>
    <row r="805" spans="1:14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</row>
    <row r="806" spans="1:14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</row>
    <row r="807" spans="1:14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</row>
    <row r="808" spans="1:14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</row>
    <row r="809" spans="1:14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</row>
    <row r="810" spans="1:14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</row>
    <row r="811" spans="1:14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</row>
    <row r="812" spans="1:14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</row>
    <row r="813" spans="1:14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</row>
    <row r="814" spans="1:14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</row>
    <row r="815" spans="1:14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</row>
    <row r="816" spans="1:14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</row>
    <row r="817" spans="1:14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</row>
    <row r="818" spans="1:14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</row>
    <row r="819" spans="1:14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</row>
    <row r="820" spans="1:14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</row>
    <row r="821" spans="1:14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</row>
    <row r="822" spans="1:14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</row>
    <row r="823" spans="1:14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</row>
    <row r="824" spans="1:14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</row>
    <row r="825" spans="1:14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</row>
    <row r="826" spans="1:14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</row>
    <row r="827" spans="1:14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</row>
    <row r="828" spans="1:14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</row>
    <row r="829" spans="1:14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</row>
    <row r="830" spans="1:14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</row>
    <row r="831" spans="1:14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</row>
    <row r="832" spans="1:14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</row>
    <row r="833" spans="1:14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</row>
    <row r="834" spans="1:14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</row>
    <row r="835" spans="1:14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</row>
    <row r="836" spans="1:14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</row>
    <row r="837" spans="1:14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</row>
    <row r="838" spans="1:14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</row>
    <row r="839" spans="1:14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</row>
    <row r="840" spans="1:14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</row>
    <row r="841" spans="1:14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</row>
    <row r="842" spans="1:14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</row>
    <row r="843" spans="1:14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</row>
    <row r="844" spans="1:14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</row>
    <row r="845" spans="1:14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</row>
    <row r="846" spans="1:14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</row>
    <row r="847" spans="1:14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</row>
    <row r="848" spans="1:14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</row>
    <row r="849" spans="1:14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</row>
    <row r="850" spans="1:14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</row>
    <row r="851" spans="1:14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</row>
    <row r="852" spans="1:14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</row>
    <row r="853" spans="1:14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</row>
    <row r="854" spans="1:14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</row>
    <row r="855" spans="1:14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</row>
    <row r="856" spans="1:14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</row>
    <row r="857" spans="1:14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</row>
    <row r="858" spans="1:14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</row>
    <row r="859" spans="1:14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</row>
    <row r="860" spans="1:14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</row>
    <row r="861" spans="1:14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</row>
    <row r="862" spans="1:14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</row>
    <row r="863" spans="1:14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</row>
    <row r="864" spans="1:14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</row>
    <row r="865" spans="1:14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</row>
    <row r="866" spans="1:14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</row>
    <row r="867" spans="1:14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</row>
    <row r="868" spans="1:14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</row>
    <row r="869" spans="1:14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</row>
    <row r="870" spans="1:14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</row>
    <row r="871" spans="1:14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</row>
    <row r="872" spans="1:14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</row>
    <row r="873" spans="1:14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</row>
    <row r="874" spans="1:14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</row>
    <row r="875" spans="1:14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</row>
    <row r="876" spans="1:14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</row>
    <row r="877" spans="1:14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</row>
    <row r="878" spans="1:14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</row>
    <row r="879" spans="1:14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</row>
    <row r="880" spans="1:14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</row>
    <row r="881" spans="1:14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</row>
    <row r="882" spans="1:14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</row>
    <row r="883" spans="1:14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</row>
    <row r="884" spans="1:14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</row>
    <row r="885" spans="1:14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</row>
    <row r="886" spans="1:14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</row>
    <row r="887" spans="1:14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</row>
    <row r="888" spans="1:14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</row>
    <row r="889" spans="1:14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</row>
    <row r="890" spans="1:14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</row>
    <row r="891" spans="1:14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</row>
    <row r="892" spans="1:14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</row>
    <row r="893" spans="1:14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</row>
    <row r="894" spans="1:14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</row>
    <row r="895" spans="1:14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</row>
    <row r="896" spans="1:14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</row>
    <row r="897" spans="1:14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</row>
    <row r="898" spans="1:14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</row>
    <row r="899" spans="1:14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</row>
    <row r="900" spans="1:14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</row>
    <row r="901" spans="1:14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</row>
    <row r="902" spans="1:14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</row>
    <row r="903" spans="1:14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</row>
    <row r="904" spans="1:14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</row>
    <row r="905" spans="1:14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</row>
    <row r="906" spans="1:14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</row>
    <row r="907" spans="1:14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</row>
    <row r="908" spans="1:14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</row>
    <row r="909" spans="1:14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</row>
    <row r="910" spans="1:14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</row>
    <row r="911" spans="1:14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</row>
    <row r="912" spans="1:14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</row>
    <row r="913" spans="1:14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</row>
    <row r="914" spans="1:14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</row>
    <row r="915" spans="1:14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</row>
    <row r="916" spans="1:14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</row>
    <row r="917" spans="1:14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</row>
    <row r="918" spans="1:14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</row>
    <row r="919" spans="1:14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</row>
    <row r="920" spans="1:14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</row>
    <row r="921" spans="1:14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</row>
    <row r="922" spans="1:14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</row>
    <row r="923" spans="1:14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</row>
    <row r="924" spans="1:14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</row>
    <row r="925" spans="1:14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</row>
    <row r="926" spans="1:14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</row>
    <row r="927" spans="1:14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</row>
    <row r="928" spans="1:14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</row>
    <row r="929" spans="1:14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</row>
    <row r="930" spans="1:14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</row>
    <row r="931" spans="1:14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</row>
    <row r="932" spans="1:14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</row>
    <row r="933" spans="1:14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</row>
    <row r="934" spans="1:14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</row>
    <row r="935" spans="1:14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</row>
    <row r="936" spans="1:14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</row>
    <row r="937" spans="1:14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</row>
    <row r="938" spans="1:14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</row>
    <row r="939" spans="1:14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</row>
    <row r="940" spans="1:14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</row>
    <row r="941" spans="1:14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</row>
    <row r="942" spans="1:14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</row>
    <row r="943" spans="1:14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</row>
    <row r="944" spans="1:14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</row>
    <row r="945" spans="1:14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</row>
    <row r="946" spans="1:14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</row>
    <row r="947" spans="1:14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</row>
    <row r="948" spans="1:14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</row>
    <row r="949" spans="1:14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</row>
    <row r="950" spans="1:14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</row>
    <row r="951" spans="1:14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</row>
    <row r="952" spans="1:14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</row>
    <row r="953" spans="1:14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</row>
    <row r="954" spans="1:14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</row>
    <row r="955" spans="1:14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</row>
    <row r="956" spans="1:14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</row>
    <row r="957" spans="1:14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</row>
    <row r="958" spans="1:14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</row>
    <row r="959" spans="1:14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</row>
    <row r="960" spans="1:14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</row>
    <row r="961" spans="1:14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</row>
    <row r="962" spans="1:14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</row>
    <row r="963" spans="1:14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</row>
    <row r="964" spans="1:14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</row>
    <row r="965" spans="1:14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</row>
    <row r="966" spans="1:14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</row>
    <row r="967" spans="1:14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</row>
    <row r="968" spans="1:14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</row>
    <row r="969" spans="1:14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</row>
    <row r="970" spans="1:14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</row>
    <row r="971" spans="1:14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</row>
    <row r="972" spans="1:14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</row>
    <row r="973" spans="1:14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</row>
    <row r="974" spans="1:14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</row>
    <row r="975" spans="1:14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</row>
    <row r="976" spans="1:14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</row>
    <row r="977" spans="1:14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</row>
    <row r="978" spans="1:14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</row>
    <row r="979" spans="1:14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</row>
    <row r="980" spans="1:14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</row>
    <row r="981" spans="1:14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</row>
    <row r="982" spans="1:14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</row>
    <row r="983" spans="1:14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</row>
    <row r="984" spans="1:14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</row>
    <row r="985" spans="1:14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</row>
    <row r="986" spans="1:14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</row>
    <row r="987" spans="1:14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</row>
    <row r="988" spans="1:14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</row>
    <row r="989" spans="1:14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</row>
    <row r="990" spans="1:14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</row>
    <row r="991" spans="1:14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</row>
    <row r="992" spans="1:14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</row>
    <row r="993" spans="1:14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</row>
    <row r="994" spans="1:14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</row>
    <row r="995" spans="1:14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</row>
    <row r="996" spans="1:14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</row>
    <row r="997" spans="1:14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</row>
    <row r="998" spans="1:14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</row>
    <row r="999" spans="1:14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</row>
    <row r="1000" spans="1:14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</row>
    <row r="1001" spans="1:14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</row>
    <row r="1002" spans="1:14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</row>
    <row r="1003" spans="1:14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</row>
    <row r="1004" spans="1:14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</row>
    <row r="1005" spans="1:14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</row>
    <row r="1006" spans="1:14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</row>
    <row r="1007" spans="1:14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</row>
    <row r="1008" spans="1:14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</row>
    <row r="1009" spans="1:14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</row>
    <row r="1010" spans="1:14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</row>
    <row r="1011" spans="1:14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</row>
    <row r="1012" spans="1:14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</row>
    <row r="1013" spans="1:14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</row>
    <row r="1014" spans="1:14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</row>
    <row r="1015" spans="1:14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</row>
    <row r="1016" spans="1:14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</row>
    <row r="1017" spans="1:14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</row>
    <row r="1018" spans="1:14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</row>
    <row r="1019" spans="1:14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</row>
    <row r="1020" spans="1:14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</row>
    <row r="1021" spans="1:14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</row>
    <row r="1022" spans="1:14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</row>
    <row r="1023" spans="1:14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</row>
    <row r="1024" spans="1:14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</row>
    <row r="1025" spans="1:14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</row>
    <row r="1026" spans="1:14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</row>
    <row r="1027" spans="1:14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</row>
    <row r="1028" spans="1:14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</row>
    <row r="1029" spans="1:14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</row>
    <row r="1030" spans="1:14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</row>
    <row r="1031" spans="1:14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</row>
    <row r="1032" spans="1:14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</row>
    <row r="1033" spans="1:14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</row>
    <row r="1034" spans="1:14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</row>
    <row r="1035" spans="1:14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</row>
    <row r="1036" spans="1:14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</row>
    <row r="1037" spans="1:14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</row>
    <row r="1038" spans="1:14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</row>
    <row r="1039" spans="1:14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</row>
    <row r="1040" spans="1:14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</row>
    <row r="1041" spans="1:14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</row>
    <row r="1042" spans="1:14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</row>
    <row r="1043" spans="1:14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</row>
    <row r="1044" spans="1:14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</row>
    <row r="1045" spans="1:14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</row>
    <row r="1046" spans="1:14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</row>
    <row r="1047" spans="1:14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</row>
    <row r="1048" spans="1:14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</row>
    <row r="1049" spans="1:14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</row>
    <row r="1050" spans="1:14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</row>
    <row r="1051" spans="1:14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</row>
    <row r="1052" spans="1:14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</row>
    <row r="1053" spans="1:14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</row>
    <row r="1054" spans="1:14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</row>
    <row r="1055" spans="1:14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</row>
    <row r="1056" spans="1:14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</row>
    <row r="1057" spans="1:14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</row>
    <row r="1058" spans="1:14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</row>
    <row r="1059" spans="1:14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</row>
    <row r="1060" spans="1:14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</row>
    <row r="1061" spans="1:14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</row>
    <row r="1062" spans="1:14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</row>
    <row r="1063" spans="1:14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</row>
    <row r="1064" spans="1:14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</row>
    <row r="1065" spans="1:14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</row>
    <row r="1066" spans="1:14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</row>
    <row r="1067" spans="1:14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</row>
    <row r="1068" spans="1:14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</row>
    <row r="1069" spans="1:14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</row>
    <row r="1070" spans="1:14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</row>
    <row r="1071" spans="1:14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</row>
    <row r="1072" spans="1:14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</row>
    <row r="1073" spans="1:14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</row>
    <row r="1074" spans="1:14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</row>
    <row r="1075" spans="1:14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</row>
    <row r="1076" spans="1:14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</row>
    <row r="1077" spans="1:14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</row>
    <row r="1078" spans="1:14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</row>
    <row r="1079" spans="1:14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</row>
    <row r="1080" spans="1:14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</row>
    <row r="1081" spans="1:14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</row>
    <row r="1082" spans="1:14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</row>
    <row r="1083" spans="1:14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</row>
    <row r="1084" spans="1:14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</row>
    <row r="1085" spans="1:14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</row>
    <row r="1086" spans="1:14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</row>
    <row r="1087" spans="1:14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</row>
    <row r="1088" spans="1:14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</row>
    <row r="1089" spans="1:14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</row>
    <row r="1090" spans="1:14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</row>
    <row r="1091" spans="1:14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</row>
    <row r="1092" spans="1:14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</row>
    <row r="1093" spans="1:14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</row>
    <row r="1094" spans="1:14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</row>
    <row r="1095" spans="1:14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</row>
    <row r="1096" spans="1:14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</row>
    <row r="1097" spans="1:14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</row>
    <row r="1098" spans="1:14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</row>
    <row r="1099" spans="1:14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</row>
    <row r="1100" spans="1:14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</row>
  </sheetData>
  <sortState ref="B309:K360">
    <sortCondition ref="K309"/>
  </sortState>
  <mergeCells count="8">
    <mergeCell ref="A68:J68"/>
    <mergeCell ref="F2:H2"/>
    <mergeCell ref="G8:H8"/>
    <mergeCell ref="G9:H9"/>
    <mergeCell ref="G3:H3"/>
    <mergeCell ref="G6:H6"/>
    <mergeCell ref="G7:H7"/>
    <mergeCell ref="A55:J55"/>
  </mergeCells>
  <pageMargins left="0.25" right="0.25" top="0.75" bottom="0.75" header="0.3" footer="0.3"/>
  <pageSetup scale="60" fitToHeight="0" orientation="landscape" r:id="rId1"/>
  <rowBreaks count="2" manualBreakCount="2">
    <brk id="109" max="9" man="1"/>
    <brk id="139" max="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">
                <anchor moveWithCells="1" sizeWithCells="1">
                  <from>
                    <xdr:col>3</xdr:col>
                    <xdr:colOff>1250830</xdr:colOff>
                    <xdr:row>7</xdr:row>
                    <xdr:rowOff>198408</xdr:rowOff>
                  </from>
                  <to>
                    <xdr:col>4</xdr:col>
                    <xdr:colOff>974785</xdr:colOff>
                    <xdr:row>10</xdr:row>
                    <xdr:rowOff>17253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E9009-BEB4-4018-B8D8-F4A1F3098B84}">
  <dimension ref="A1:H53"/>
  <sheetViews>
    <sheetView workbookViewId="0">
      <selection activeCell="E49" sqref="E49"/>
    </sheetView>
  </sheetViews>
  <sheetFormatPr defaultRowHeight="14.3" x14ac:dyDescent="0.25"/>
  <cols>
    <col min="1" max="1" width="3.875" bestFit="1" customWidth="1"/>
    <col min="2" max="2" width="33.25" customWidth="1"/>
    <col min="3" max="3" width="13.875" customWidth="1"/>
    <col min="4" max="4" width="41.875" bestFit="1" customWidth="1"/>
    <col min="5" max="5" width="32.375" customWidth="1"/>
    <col min="6" max="6" width="41" customWidth="1"/>
  </cols>
  <sheetData>
    <row r="1" spans="1:8" ht="40.75" x14ac:dyDescent="0.25">
      <c r="A1" s="18" t="s">
        <v>2</v>
      </c>
      <c r="B1" s="18" t="s">
        <v>3</v>
      </c>
      <c r="C1" s="18" t="s">
        <v>4</v>
      </c>
      <c r="D1" s="18" t="s">
        <v>5</v>
      </c>
      <c r="E1" s="18" t="s">
        <v>6</v>
      </c>
      <c r="F1" s="18" t="s">
        <v>16</v>
      </c>
      <c r="G1" s="21" t="s">
        <v>263</v>
      </c>
      <c r="H1" s="23" t="s">
        <v>264</v>
      </c>
    </row>
    <row r="2" spans="1:8" ht="28.55" x14ac:dyDescent="0.25">
      <c r="A2" s="2">
        <v>1</v>
      </c>
      <c r="B2" s="17" t="s">
        <v>86</v>
      </c>
      <c r="C2" s="17" t="s">
        <v>122</v>
      </c>
      <c r="D2" s="17" t="s">
        <v>123</v>
      </c>
      <c r="E2" s="17" t="s">
        <v>48</v>
      </c>
      <c r="F2" s="17" t="s">
        <v>122</v>
      </c>
      <c r="G2" s="22">
        <v>2.1999999999999999E-2</v>
      </c>
      <c r="H2" s="22">
        <f t="shared" ref="H2:H43" si="0">G2*A2</f>
        <v>2.1999999999999999E-2</v>
      </c>
    </row>
    <row r="3" spans="1:8" ht="28.55" x14ac:dyDescent="0.25">
      <c r="A3" s="2">
        <v>1</v>
      </c>
      <c r="B3" s="17" t="s">
        <v>195</v>
      </c>
      <c r="C3" s="17" t="s">
        <v>126</v>
      </c>
      <c r="D3" s="17" t="s">
        <v>127</v>
      </c>
      <c r="E3" s="17" t="s">
        <v>28</v>
      </c>
      <c r="F3" s="17" t="s">
        <v>29</v>
      </c>
      <c r="G3" s="28">
        <v>0.38</v>
      </c>
      <c r="H3" s="22">
        <f t="shared" si="0"/>
        <v>0.38</v>
      </c>
    </row>
    <row r="4" spans="1:8" x14ac:dyDescent="0.25">
      <c r="A4" s="2">
        <v>1</v>
      </c>
      <c r="B4" s="17" t="s">
        <v>196</v>
      </c>
      <c r="C4" s="17" t="s">
        <v>41</v>
      </c>
      <c r="D4" s="17" t="s">
        <v>178</v>
      </c>
      <c r="E4" s="17" t="s">
        <v>118</v>
      </c>
      <c r="F4" s="17" t="s">
        <v>42</v>
      </c>
      <c r="G4" s="22">
        <v>6.5399999999999998E-3</v>
      </c>
      <c r="H4" s="22">
        <f t="shared" si="0"/>
        <v>6.5399999999999998E-3</v>
      </c>
    </row>
    <row r="5" spans="1:8" ht="28.55" x14ac:dyDescent="0.25">
      <c r="A5" s="2">
        <v>11</v>
      </c>
      <c r="B5" s="17" t="s">
        <v>197</v>
      </c>
      <c r="C5" s="17" t="s">
        <v>43</v>
      </c>
      <c r="D5" s="17" t="s">
        <v>92</v>
      </c>
      <c r="E5" s="17" t="s">
        <v>93</v>
      </c>
      <c r="F5" s="17" t="s">
        <v>88</v>
      </c>
      <c r="G5" s="22">
        <v>6.8399999999999997E-3</v>
      </c>
      <c r="H5" s="22">
        <f t="shared" si="0"/>
        <v>7.5240000000000001E-2</v>
      </c>
    </row>
    <row r="6" spans="1:8" x14ac:dyDescent="0.25">
      <c r="A6" s="2">
        <v>3</v>
      </c>
      <c r="B6" s="17" t="s">
        <v>199</v>
      </c>
      <c r="C6" s="17" t="s">
        <v>145</v>
      </c>
      <c r="D6" s="17" t="s">
        <v>176</v>
      </c>
      <c r="E6" s="17" t="s">
        <v>118</v>
      </c>
      <c r="F6" s="17" t="s">
        <v>177</v>
      </c>
      <c r="G6" s="22">
        <v>0.19722000000000001</v>
      </c>
      <c r="H6" s="22">
        <f t="shared" si="0"/>
        <v>0.59166000000000007</v>
      </c>
    </row>
    <row r="7" spans="1:8" x14ac:dyDescent="0.25">
      <c r="A7" s="2">
        <v>4</v>
      </c>
      <c r="B7" s="17" t="s">
        <v>200</v>
      </c>
      <c r="C7" s="17" t="s">
        <v>162</v>
      </c>
      <c r="D7" s="17" t="s">
        <v>163</v>
      </c>
      <c r="E7" s="17" t="s">
        <v>118</v>
      </c>
      <c r="F7" s="17" t="s">
        <v>164</v>
      </c>
      <c r="G7" s="22">
        <v>0.124</v>
      </c>
      <c r="H7" s="22">
        <f t="shared" si="0"/>
        <v>0.496</v>
      </c>
    </row>
    <row r="8" spans="1:8" x14ac:dyDescent="0.25">
      <c r="A8" s="2">
        <v>1</v>
      </c>
      <c r="B8" s="17" t="s">
        <v>201</v>
      </c>
      <c r="C8" s="17" t="s">
        <v>147</v>
      </c>
      <c r="D8" s="17" t="s">
        <v>148</v>
      </c>
      <c r="E8" s="17" t="s">
        <v>118</v>
      </c>
      <c r="F8" s="17" t="s">
        <v>149</v>
      </c>
      <c r="G8" s="22">
        <v>1.32E-2</v>
      </c>
      <c r="H8" s="22">
        <f t="shared" si="0"/>
        <v>1.32E-2</v>
      </c>
    </row>
    <row r="9" spans="1:8" ht="28.55" x14ac:dyDescent="0.25">
      <c r="A9" s="2">
        <v>14</v>
      </c>
      <c r="B9" s="17" t="s">
        <v>198</v>
      </c>
      <c r="C9" s="17" t="s">
        <v>35</v>
      </c>
      <c r="D9" s="17" t="s">
        <v>94</v>
      </c>
      <c r="E9" s="17" t="s">
        <v>36</v>
      </c>
      <c r="F9" s="17" t="s">
        <v>37</v>
      </c>
      <c r="G9" s="22">
        <v>1.2999999999999999E-2</v>
      </c>
      <c r="H9" s="22">
        <f t="shared" si="0"/>
        <v>0.182</v>
      </c>
    </row>
    <row r="10" spans="1:8" x14ac:dyDescent="0.25">
      <c r="A10" s="2">
        <v>2</v>
      </c>
      <c r="B10" s="17" t="s">
        <v>202</v>
      </c>
      <c r="C10" s="17" t="s">
        <v>39</v>
      </c>
      <c r="D10" s="17" t="s">
        <v>173</v>
      </c>
      <c r="E10" s="17" t="s">
        <v>118</v>
      </c>
      <c r="F10" s="17" t="s">
        <v>174</v>
      </c>
      <c r="G10" s="22">
        <v>0.1239</v>
      </c>
      <c r="H10" s="22">
        <f t="shared" si="0"/>
        <v>0.24779999999999999</v>
      </c>
    </row>
    <row r="11" spans="1:8" x14ac:dyDescent="0.25">
      <c r="A11" s="2">
        <v>1</v>
      </c>
      <c r="B11" s="17" t="s">
        <v>204</v>
      </c>
      <c r="C11" s="17" t="s">
        <v>205</v>
      </c>
      <c r="D11" s="17" t="s">
        <v>206</v>
      </c>
      <c r="E11" s="17" t="s">
        <v>207</v>
      </c>
      <c r="F11" s="17">
        <v>61300211121</v>
      </c>
      <c r="G11" s="22">
        <v>6.7000000000000004E-2</v>
      </c>
      <c r="H11" s="22">
        <f t="shared" si="0"/>
        <v>6.7000000000000004E-2</v>
      </c>
    </row>
    <row r="12" spans="1:8" ht="28.55" x14ac:dyDescent="0.25">
      <c r="A12" s="2">
        <v>1</v>
      </c>
      <c r="B12" s="17" t="s">
        <v>208</v>
      </c>
      <c r="C12" s="17" t="s">
        <v>49</v>
      </c>
      <c r="D12" s="17" t="s">
        <v>96</v>
      </c>
      <c r="E12" s="17" t="s">
        <v>50</v>
      </c>
      <c r="F12" s="17" t="s">
        <v>49</v>
      </c>
      <c r="G12" s="22">
        <v>0.1749</v>
      </c>
      <c r="H12" s="22">
        <f t="shared" si="0"/>
        <v>0.1749</v>
      </c>
    </row>
    <row r="13" spans="1:8" x14ac:dyDescent="0.25">
      <c r="A13" s="2">
        <v>1</v>
      </c>
      <c r="B13" s="17" t="s">
        <v>89</v>
      </c>
      <c r="C13" s="17" t="s">
        <v>209</v>
      </c>
      <c r="D13" s="17" t="s">
        <v>210</v>
      </c>
      <c r="E13" s="17" t="s">
        <v>211</v>
      </c>
      <c r="F13" s="17" t="s">
        <v>212</v>
      </c>
      <c r="G13" s="22">
        <v>6.2089999999999999E-2</v>
      </c>
      <c r="H13" s="22">
        <f t="shared" si="0"/>
        <v>6.2089999999999999E-2</v>
      </c>
    </row>
    <row r="14" spans="1:8" x14ac:dyDescent="0.25">
      <c r="A14" s="2">
        <v>1</v>
      </c>
      <c r="B14" s="17" t="s">
        <v>179</v>
      </c>
      <c r="C14" s="17" t="s">
        <v>214</v>
      </c>
      <c r="D14" s="17" t="s">
        <v>215</v>
      </c>
      <c r="E14" s="17" t="s">
        <v>129</v>
      </c>
      <c r="F14" s="17" t="s">
        <v>216</v>
      </c>
      <c r="G14" s="22">
        <v>0.65200000000000002</v>
      </c>
      <c r="H14" s="22">
        <f t="shared" si="0"/>
        <v>0.65200000000000002</v>
      </c>
    </row>
    <row r="15" spans="1:8" ht="28.55" x14ac:dyDescent="0.25">
      <c r="A15" s="2">
        <v>1</v>
      </c>
      <c r="B15" s="17" t="s">
        <v>203</v>
      </c>
      <c r="C15" s="17" t="s">
        <v>45</v>
      </c>
      <c r="D15" s="17" t="s">
        <v>95</v>
      </c>
      <c r="E15" s="17" t="s">
        <v>46</v>
      </c>
      <c r="F15" s="17" t="s">
        <v>47</v>
      </c>
      <c r="G15" s="22">
        <v>0.3</v>
      </c>
      <c r="H15" s="22">
        <f t="shared" si="0"/>
        <v>0.3</v>
      </c>
    </row>
    <row r="16" spans="1:8" ht="28.55" x14ac:dyDescent="0.25">
      <c r="A16" s="2">
        <v>1</v>
      </c>
      <c r="B16" s="17" t="s">
        <v>150</v>
      </c>
      <c r="C16" s="17" t="s">
        <v>151</v>
      </c>
      <c r="D16" s="17" t="s">
        <v>152</v>
      </c>
      <c r="E16" s="17" t="s">
        <v>118</v>
      </c>
      <c r="F16" s="17" t="s">
        <v>153</v>
      </c>
      <c r="G16" s="22">
        <v>5.7500000000000002E-2</v>
      </c>
      <c r="H16" s="22">
        <f t="shared" si="0"/>
        <v>5.7500000000000002E-2</v>
      </c>
    </row>
    <row r="17" spans="1:8" x14ac:dyDescent="0.25">
      <c r="A17" s="2">
        <v>1</v>
      </c>
      <c r="B17" s="17" t="s">
        <v>217</v>
      </c>
      <c r="C17" s="17" t="s">
        <v>51</v>
      </c>
      <c r="D17" s="17" t="s">
        <v>167</v>
      </c>
      <c r="E17" s="17" t="s">
        <v>108</v>
      </c>
      <c r="F17" s="17" t="s">
        <v>109</v>
      </c>
      <c r="G17" s="22">
        <v>3.3099999999999997E-2</v>
      </c>
      <c r="H17" s="22">
        <f t="shared" si="0"/>
        <v>3.3099999999999997E-2</v>
      </c>
    </row>
    <row r="18" spans="1:8" x14ac:dyDescent="0.25">
      <c r="A18" s="2">
        <v>5</v>
      </c>
      <c r="B18" s="17" t="s">
        <v>218</v>
      </c>
      <c r="C18" s="17" t="s">
        <v>219</v>
      </c>
      <c r="D18" s="17" t="s">
        <v>220</v>
      </c>
      <c r="E18" s="17" t="s">
        <v>221</v>
      </c>
      <c r="F18" s="17" t="s">
        <v>222</v>
      </c>
      <c r="G18" s="22">
        <v>5.11E-2</v>
      </c>
      <c r="H18" s="22">
        <f t="shared" si="0"/>
        <v>0.2555</v>
      </c>
    </row>
    <row r="19" spans="1:8" x14ac:dyDescent="0.25">
      <c r="A19" s="2">
        <v>1</v>
      </c>
      <c r="B19" s="17" t="s">
        <v>223</v>
      </c>
      <c r="C19" s="17" t="s">
        <v>52</v>
      </c>
      <c r="D19" s="17" t="s">
        <v>224</v>
      </c>
      <c r="E19" s="17" t="s">
        <v>108</v>
      </c>
      <c r="F19" s="17" t="s">
        <v>225</v>
      </c>
      <c r="G19" s="22">
        <v>3.39E-2</v>
      </c>
      <c r="H19" s="22">
        <f t="shared" si="0"/>
        <v>3.39E-2</v>
      </c>
    </row>
    <row r="20" spans="1:8" x14ac:dyDescent="0.25">
      <c r="A20" s="2">
        <v>1</v>
      </c>
      <c r="B20" s="17" t="s">
        <v>226</v>
      </c>
      <c r="C20" s="17" t="s">
        <v>227</v>
      </c>
      <c r="D20" s="17" t="s">
        <v>228</v>
      </c>
      <c r="E20" s="17"/>
      <c r="F20" s="17" t="s">
        <v>229</v>
      </c>
      <c r="G20" s="22">
        <v>6.8199999999999997E-2</v>
      </c>
      <c r="H20" s="22">
        <f t="shared" si="0"/>
        <v>6.8199999999999997E-2</v>
      </c>
    </row>
    <row r="21" spans="1:8" x14ac:dyDescent="0.25">
      <c r="A21" s="2">
        <v>2</v>
      </c>
      <c r="B21" s="17" t="s">
        <v>230</v>
      </c>
      <c r="C21" s="17" t="s">
        <v>59</v>
      </c>
      <c r="D21" s="17" t="s">
        <v>168</v>
      </c>
      <c r="E21" s="17" t="s">
        <v>40</v>
      </c>
      <c r="F21" s="17" t="s">
        <v>66</v>
      </c>
      <c r="G21" s="22">
        <v>5.9999999999999995E-4</v>
      </c>
      <c r="H21" s="22">
        <f t="shared" si="0"/>
        <v>1.1999999999999999E-3</v>
      </c>
    </row>
    <row r="22" spans="1:8" x14ac:dyDescent="0.25">
      <c r="A22" s="2">
        <v>2</v>
      </c>
      <c r="B22" s="17" t="s">
        <v>237</v>
      </c>
      <c r="C22" s="17" t="s">
        <v>56</v>
      </c>
      <c r="D22" s="17" t="s">
        <v>99</v>
      </c>
      <c r="E22" s="17" t="s">
        <v>40</v>
      </c>
      <c r="F22" s="17" t="s">
        <v>57</v>
      </c>
      <c r="G22" s="22">
        <v>5.9999999999999995E-4</v>
      </c>
      <c r="H22" s="22">
        <f t="shared" si="0"/>
        <v>1.1999999999999999E-3</v>
      </c>
    </row>
    <row r="23" spans="1:8" x14ac:dyDescent="0.25">
      <c r="A23" s="2">
        <v>2</v>
      </c>
      <c r="B23" s="17" t="s">
        <v>238</v>
      </c>
      <c r="C23" s="17" t="s">
        <v>63</v>
      </c>
      <c r="D23" s="17" t="s">
        <v>100</v>
      </c>
      <c r="E23" s="17" t="s">
        <v>64</v>
      </c>
      <c r="F23" s="17" t="s">
        <v>65</v>
      </c>
      <c r="G23" s="22">
        <v>3.3999999999999998E-3</v>
      </c>
      <c r="H23" s="22">
        <f t="shared" si="0"/>
        <v>6.7999999999999996E-3</v>
      </c>
    </row>
    <row r="24" spans="1:8" ht="28.55" x14ac:dyDescent="0.25">
      <c r="A24" s="2">
        <v>1</v>
      </c>
      <c r="B24" s="17" t="s">
        <v>239</v>
      </c>
      <c r="C24" s="17" t="s">
        <v>154</v>
      </c>
      <c r="D24" s="17" t="s">
        <v>155</v>
      </c>
      <c r="E24" s="17" t="s">
        <v>40</v>
      </c>
      <c r="F24" s="17" t="s">
        <v>156</v>
      </c>
      <c r="G24" s="22">
        <v>4.0000000000000001E-3</v>
      </c>
      <c r="H24" s="22">
        <f t="shared" si="0"/>
        <v>4.0000000000000001E-3</v>
      </c>
    </row>
    <row r="25" spans="1:8" x14ac:dyDescent="0.25">
      <c r="A25" s="2">
        <v>1</v>
      </c>
      <c r="B25" s="17" t="s">
        <v>240</v>
      </c>
      <c r="C25" s="17" t="s">
        <v>70</v>
      </c>
      <c r="D25" s="17" t="s">
        <v>98</v>
      </c>
      <c r="E25" s="17" t="s">
        <v>40</v>
      </c>
      <c r="F25" s="17" t="s">
        <v>71</v>
      </c>
      <c r="G25" s="22">
        <v>2.2000000000000001E-3</v>
      </c>
      <c r="H25" s="22">
        <f t="shared" si="0"/>
        <v>2.2000000000000001E-3</v>
      </c>
    </row>
    <row r="26" spans="1:8" ht="28.55" x14ac:dyDescent="0.25">
      <c r="A26" s="2">
        <v>17</v>
      </c>
      <c r="B26" s="17" t="s">
        <v>231</v>
      </c>
      <c r="C26" s="17" t="s">
        <v>67</v>
      </c>
      <c r="D26" s="17" t="s">
        <v>166</v>
      </c>
      <c r="E26" s="17" t="s">
        <v>68</v>
      </c>
      <c r="F26" s="17" t="s">
        <v>69</v>
      </c>
      <c r="G26" s="22">
        <v>4.6899999999999997E-3</v>
      </c>
      <c r="H26" s="22">
        <f t="shared" si="0"/>
        <v>7.9729999999999995E-2</v>
      </c>
    </row>
    <row r="27" spans="1:8" x14ac:dyDescent="0.25">
      <c r="A27" s="2">
        <v>4</v>
      </c>
      <c r="B27" s="17" t="s">
        <v>241</v>
      </c>
      <c r="C27" s="17" t="s">
        <v>119</v>
      </c>
      <c r="D27" s="17" t="s">
        <v>169</v>
      </c>
      <c r="E27" s="17" t="s">
        <v>141</v>
      </c>
      <c r="F27" s="17" t="s">
        <v>142</v>
      </c>
      <c r="G27" s="22">
        <v>2.8900000000000002E-3</v>
      </c>
      <c r="H27" s="22">
        <f t="shared" si="0"/>
        <v>1.1560000000000001E-2</v>
      </c>
    </row>
    <row r="28" spans="1:8" x14ac:dyDescent="0.25">
      <c r="A28" s="2">
        <v>5</v>
      </c>
      <c r="B28" s="17" t="s">
        <v>242</v>
      </c>
      <c r="C28" s="17" t="s">
        <v>131</v>
      </c>
      <c r="D28" s="17" t="s">
        <v>132</v>
      </c>
      <c r="E28" s="17" t="s">
        <v>40</v>
      </c>
      <c r="F28" s="17" t="s">
        <v>143</v>
      </c>
      <c r="G28" s="22">
        <v>3.0000000000000001E-3</v>
      </c>
      <c r="H28" s="22">
        <f t="shared" si="0"/>
        <v>1.4999999999999999E-2</v>
      </c>
    </row>
    <row r="29" spans="1:8" x14ac:dyDescent="0.25">
      <c r="A29" s="2">
        <v>4</v>
      </c>
      <c r="B29" s="17" t="s">
        <v>232</v>
      </c>
      <c r="C29" s="17" t="s">
        <v>53</v>
      </c>
      <c r="D29" s="17" t="s">
        <v>135</v>
      </c>
      <c r="E29" s="17" t="s">
        <v>40</v>
      </c>
      <c r="F29" s="17" t="s">
        <v>136</v>
      </c>
      <c r="G29" s="22">
        <v>2E-3</v>
      </c>
      <c r="H29" s="22">
        <f t="shared" si="0"/>
        <v>8.0000000000000002E-3</v>
      </c>
    </row>
    <row r="30" spans="1:8" x14ac:dyDescent="0.25">
      <c r="A30" s="2">
        <v>2</v>
      </c>
      <c r="B30" s="17" t="s">
        <v>233</v>
      </c>
      <c r="C30" s="17" t="s">
        <v>61</v>
      </c>
      <c r="D30" s="17" t="s">
        <v>137</v>
      </c>
      <c r="E30" s="17" t="s">
        <v>40</v>
      </c>
      <c r="F30" s="17" t="s">
        <v>138</v>
      </c>
      <c r="G30" s="22">
        <v>3.5999999999999999E-3</v>
      </c>
      <c r="H30" s="22">
        <f t="shared" si="0"/>
        <v>7.1999999999999998E-3</v>
      </c>
    </row>
    <row r="31" spans="1:8" x14ac:dyDescent="0.25">
      <c r="A31" s="2">
        <v>1</v>
      </c>
      <c r="B31" s="17" t="s">
        <v>243</v>
      </c>
      <c r="C31" s="17" t="s">
        <v>59</v>
      </c>
      <c r="D31" s="17" t="s">
        <v>244</v>
      </c>
      <c r="E31" s="17" t="s">
        <v>54</v>
      </c>
      <c r="F31" s="17" t="s">
        <v>245</v>
      </c>
      <c r="G31" s="22">
        <v>8.0000000000000002E-3</v>
      </c>
      <c r="H31" s="22">
        <f t="shared" si="0"/>
        <v>8.0000000000000002E-3</v>
      </c>
    </row>
    <row r="32" spans="1:8" x14ac:dyDescent="0.25">
      <c r="A32" s="2">
        <v>5</v>
      </c>
      <c r="B32" s="17" t="s">
        <v>246</v>
      </c>
      <c r="C32" s="17" t="s">
        <v>247</v>
      </c>
      <c r="D32" s="17" t="s">
        <v>248</v>
      </c>
      <c r="E32" s="17" t="s">
        <v>249</v>
      </c>
      <c r="F32" s="17" t="s">
        <v>250</v>
      </c>
      <c r="G32" s="22">
        <v>3.8800000000000002E-3</v>
      </c>
      <c r="H32" s="22">
        <f t="shared" si="0"/>
        <v>1.9400000000000001E-2</v>
      </c>
    </row>
    <row r="33" spans="1:8" x14ac:dyDescent="0.25">
      <c r="A33" s="2">
        <v>1</v>
      </c>
      <c r="B33" s="17" t="s">
        <v>234</v>
      </c>
      <c r="C33" s="17" t="s">
        <v>60</v>
      </c>
      <c r="D33" s="17" t="s">
        <v>139</v>
      </c>
      <c r="E33" s="17" t="s">
        <v>111</v>
      </c>
      <c r="F33" s="17" t="s">
        <v>140</v>
      </c>
      <c r="G33" s="22">
        <v>6.7000000000000002E-3</v>
      </c>
      <c r="H33" s="22">
        <f t="shared" si="0"/>
        <v>6.7000000000000002E-3</v>
      </c>
    </row>
    <row r="34" spans="1:8" x14ac:dyDescent="0.25">
      <c r="A34" s="2">
        <v>1</v>
      </c>
      <c r="B34" s="17" t="s">
        <v>251</v>
      </c>
      <c r="C34" s="17" t="s">
        <v>252</v>
      </c>
      <c r="D34" s="17" t="s">
        <v>253</v>
      </c>
      <c r="E34" s="17" t="s">
        <v>141</v>
      </c>
      <c r="F34" s="17" t="s">
        <v>254</v>
      </c>
      <c r="G34" s="22">
        <v>5.8999999999999999E-3</v>
      </c>
      <c r="H34" s="22">
        <f t="shared" si="0"/>
        <v>5.8999999999999999E-3</v>
      </c>
    </row>
    <row r="35" spans="1:8" x14ac:dyDescent="0.25">
      <c r="A35" s="2">
        <v>2</v>
      </c>
      <c r="B35" s="17" t="s">
        <v>236</v>
      </c>
      <c r="C35" s="17" t="s">
        <v>110</v>
      </c>
      <c r="D35" s="17" t="s">
        <v>181</v>
      </c>
      <c r="E35" s="17" t="s">
        <v>40</v>
      </c>
      <c r="F35" s="17" t="s">
        <v>133</v>
      </c>
      <c r="G35" s="22">
        <v>2E-3</v>
      </c>
      <c r="H35" s="22">
        <f t="shared" si="0"/>
        <v>4.0000000000000001E-3</v>
      </c>
    </row>
    <row r="36" spans="1:8" x14ac:dyDescent="0.25">
      <c r="A36" s="2">
        <v>2</v>
      </c>
      <c r="B36" s="17" t="s">
        <v>255</v>
      </c>
      <c r="C36" s="17" t="s">
        <v>73</v>
      </c>
      <c r="D36" s="17" t="s">
        <v>101</v>
      </c>
      <c r="E36" s="17" t="s">
        <v>102</v>
      </c>
      <c r="F36" s="17" t="s">
        <v>73</v>
      </c>
      <c r="G36" s="22">
        <v>7.7799999999999994E-2</v>
      </c>
      <c r="H36" s="22">
        <f t="shared" si="0"/>
        <v>0.15559999999999999</v>
      </c>
    </row>
    <row r="37" spans="1:8" ht="28.55" x14ac:dyDescent="0.25">
      <c r="A37" s="2">
        <v>1</v>
      </c>
      <c r="B37" s="17" t="s">
        <v>75</v>
      </c>
      <c r="C37" s="17" t="s">
        <v>74</v>
      </c>
      <c r="D37" s="17" t="s">
        <v>104</v>
      </c>
      <c r="E37" s="17" t="s">
        <v>76</v>
      </c>
      <c r="F37" s="17" t="s">
        <v>74</v>
      </c>
      <c r="G37" s="22"/>
      <c r="H37" s="22">
        <f t="shared" si="0"/>
        <v>0</v>
      </c>
    </row>
    <row r="38" spans="1:8" ht="28.55" x14ac:dyDescent="0.25">
      <c r="A38" s="2">
        <v>1</v>
      </c>
      <c r="B38" s="17" t="s">
        <v>256</v>
      </c>
      <c r="C38" s="17" t="s">
        <v>105</v>
      </c>
      <c r="D38" s="17" t="s">
        <v>106</v>
      </c>
      <c r="E38" s="17" t="s">
        <v>78</v>
      </c>
      <c r="F38" s="17" t="s">
        <v>105</v>
      </c>
      <c r="G38" s="22">
        <v>0.21</v>
      </c>
      <c r="H38" s="22">
        <f t="shared" si="0"/>
        <v>0.21</v>
      </c>
    </row>
    <row r="39" spans="1:8" ht="28.55" x14ac:dyDescent="0.25">
      <c r="A39" s="2">
        <v>1</v>
      </c>
      <c r="B39" s="17" t="s">
        <v>257</v>
      </c>
      <c r="C39" s="17" t="s">
        <v>159</v>
      </c>
      <c r="D39" s="17" t="s">
        <v>171</v>
      </c>
      <c r="E39" s="17" t="s">
        <v>134</v>
      </c>
      <c r="F39" s="17" t="s">
        <v>159</v>
      </c>
      <c r="G39" s="22">
        <v>0.27</v>
      </c>
      <c r="H39" s="22">
        <f t="shared" si="0"/>
        <v>0.27</v>
      </c>
    </row>
    <row r="40" spans="1:8" x14ac:dyDescent="0.25">
      <c r="A40" s="2">
        <v>1</v>
      </c>
      <c r="B40" s="17" t="s">
        <v>128</v>
      </c>
      <c r="C40" s="17" t="s">
        <v>79</v>
      </c>
      <c r="D40" s="17" t="s">
        <v>124</v>
      </c>
      <c r="E40" s="17" t="s">
        <v>80</v>
      </c>
      <c r="F40" s="17" t="s">
        <v>81</v>
      </c>
      <c r="G40" s="22">
        <v>0.17699999999999999</v>
      </c>
      <c r="H40" s="22">
        <f t="shared" si="0"/>
        <v>0.17699999999999999</v>
      </c>
    </row>
    <row r="41" spans="1:8" ht="28.55" x14ac:dyDescent="0.25">
      <c r="A41" s="2">
        <v>1</v>
      </c>
      <c r="B41" s="17" t="s">
        <v>157</v>
      </c>
      <c r="C41" s="17" t="s">
        <v>158</v>
      </c>
      <c r="D41" s="17" t="s">
        <v>170</v>
      </c>
      <c r="E41" s="17" t="s">
        <v>82</v>
      </c>
      <c r="F41" s="17" t="s">
        <v>158</v>
      </c>
      <c r="G41" s="22">
        <v>0.1454</v>
      </c>
      <c r="H41" s="22">
        <f t="shared" si="0"/>
        <v>0.1454</v>
      </c>
    </row>
    <row r="42" spans="1:8" ht="28.55" x14ac:dyDescent="0.25">
      <c r="A42" s="2">
        <v>1</v>
      </c>
      <c r="B42" s="17" t="s">
        <v>258</v>
      </c>
      <c r="C42" s="17" t="s">
        <v>180</v>
      </c>
      <c r="D42" s="17" t="s">
        <v>182</v>
      </c>
      <c r="E42" s="17" t="s">
        <v>76</v>
      </c>
      <c r="F42" s="17" t="s">
        <v>120</v>
      </c>
      <c r="G42" s="22"/>
      <c r="H42" s="22">
        <f t="shared" si="0"/>
        <v>0</v>
      </c>
    </row>
    <row r="43" spans="1:8" ht="28.55" x14ac:dyDescent="0.25">
      <c r="A43" s="2">
        <v>1</v>
      </c>
      <c r="B43" s="17" t="s">
        <v>259</v>
      </c>
      <c r="C43" s="17" t="s">
        <v>260</v>
      </c>
      <c r="D43" s="17" t="s">
        <v>261</v>
      </c>
      <c r="E43" s="17" t="s">
        <v>262</v>
      </c>
      <c r="F43" s="17" t="s">
        <v>260</v>
      </c>
      <c r="G43" s="22">
        <v>0.28000000000000003</v>
      </c>
      <c r="H43" s="22">
        <f t="shared" si="0"/>
        <v>0.28000000000000003</v>
      </c>
    </row>
    <row r="45" spans="1:8" x14ac:dyDescent="0.25">
      <c r="F45" s="35" t="s">
        <v>264</v>
      </c>
      <c r="G45" s="36"/>
      <c r="H45" s="27">
        <f>SUM(H2:H43)</f>
        <v>5.1375200000000012</v>
      </c>
    </row>
    <row r="47" spans="1:8" x14ac:dyDescent="0.25">
      <c r="B47" s="23" t="s">
        <v>5</v>
      </c>
      <c r="C47" s="24">
        <v>250</v>
      </c>
    </row>
    <row r="48" spans="1:8" x14ac:dyDescent="0.25">
      <c r="B48" s="22" t="s">
        <v>265</v>
      </c>
      <c r="C48" s="20">
        <f>H45</f>
        <v>5.1375200000000012</v>
      </c>
    </row>
    <row r="49" spans="2:3" x14ac:dyDescent="0.25">
      <c r="B49" s="22" t="s">
        <v>270</v>
      </c>
      <c r="C49" s="20"/>
    </row>
    <row r="50" spans="2:3" x14ac:dyDescent="0.25">
      <c r="B50" s="25" t="s">
        <v>266</v>
      </c>
      <c r="C50" s="20">
        <f>SUM(C48:C48)*0.09</f>
        <v>0.46237680000000009</v>
      </c>
    </row>
    <row r="51" spans="2:3" x14ac:dyDescent="0.25">
      <c r="B51" s="25" t="s">
        <v>267</v>
      </c>
      <c r="C51" s="20">
        <f>SUM(C48:C50)</f>
        <v>5.5998968000000016</v>
      </c>
    </row>
    <row r="52" spans="2:3" x14ac:dyDescent="0.25">
      <c r="B52" s="25" t="s">
        <v>268</v>
      </c>
      <c r="C52" s="20">
        <f>C51*0.35</f>
        <v>1.9599638800000003</v>
      </c>
    </row>
    <row r="53" spans="2:3" x14ac:dyDescent="0.25">
      <c r="B53" s="23" t="s">
        <v>269</v>
      </c>
      <c r="C53" s="26">
        <f>SUM(C50:C52)</f>
        <v>8.0222374800000029</v>
      </c>
    </row>
  </sheetData>
  <sortState ref="A2:H43">
    <sortCondition ref="B1"/>
  </sortState>
  <mergeCells count="1">
    <mergeCell ref="F45:G4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Revision History</vt:lpstr>
      <vt:lpstr>PCBA BOM</vt:lpstr>
      <vt:lpstr>Costing</vt:lpstr>
      <vt:lpstr>'PCBA BOM'!Print_Area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Avinash Aravindan</dc:creator>
  <cp:lastModifiedBy>Tareesh Kamath</cp:lastModifiedBy>
  <cp:lastPrinted>2016-12-15T09:20:00Z</cp:lastPrinted>
  <dcterms:created xsi:type="dcterms:W3CDTF">2016-02-15T10:07:19Z</dcterms:created>
  <dcterms:modified xsi:type="dcterms:W3CDTF">2018-09-10T10:38:15Z</dcterms:modified>
</cp:coreProperties>
</file>